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user\Desktop\260806_Prj_서울시공동주택관리비\_ref\"/>
    </mc:Choice>
  </mc:AlternateContent>
  <xr:revisionPtr revIDLastSave="0" documentId="13_ncr:1_{EB6C0B09-E724-4C23-BC81-EA11F46B3D85}" xr6:coauthVersionLast="36" xr6:coauthVersionMax="36" xr10:uidLastSave="{00000000-0000-0000-0000-000000000000}"/>
  <bookViews>
    <workbookView xWindow="0" yWindow="0" windowWidth="38400" windowHeight="18165" xr2:uid="{AE959367-A2FE-4ED3-97EF-2518ED892153}"/>
  </bookViews>
  <sheets>
    <sheet name="관리비_Kenneth" sheetId="1" r:id="rId1"/>
  </sheets>
  <externalReferences>
    <externalReference r:id="rId2"/>
  </externalReferences>
  <definedNames>
    <definedName name="b" hidden="1">{"LMT",#N/A,FALSE,"LMT";"Sales",#N/A,FALSE,"Sales";"GMS",#N/A,FALSE,"GMS";"Stock",#N/A,FALSE,"Stock";"3100408",#N/A,FALSE,"3100408";"3106400",#N/A,FALSE,"3106400";"3100410",#N/A,FALSE,"3100410";"3100422",#N/A,FALSE,"3100422";"3100423",#N/A,FALSE,"3100423";"3107400",#N/A,FALSE,"3107400";"Mixers",#N/A,FALSE,"Mixers";"3200500",#N/A,FALSE,"3200500"}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new" hidden="1">{"LMT",#N/A,FALSE,"LMT";"Sales",#N/A,FALSE,"Sales";"GMS",#N/A,FALSE,"GMS";"Stock",#N/A,FALSE,"Stock";"3100408",#N/A,FALSE,"3100408";"3106400",#N/A,FALSE,"3106400";"3100410",#N/A,FALSE,"3100410";"3100422",#N/A,FALSE,"3100422";"3100423",#N/A,FALSE,"3100423";"3107400",#N/A,FALSE,"3107400";"Mixers",#N/A,FALSE,"Mixers";"3200500",#N/A,FALSE,"3200500"}</definedName>
    <definedName name="nww" hidden="1">{"LMT",#N/A,FALSE,"LMT";"Sales",#N/A,FALSE,"Sales";"GMS",#N/A,FALSE,"GMS";"Stock",#N/A,FALSE,"Stock";"3100408",#N/A,FALSE,"3100408";"3106400",#N/A,FALSE,"3106400";"3100410",#N/A,FALSE,"3100410";"3100422",#N/A,FALSE,"3100422";"3100423",#N/A,FALSE,"3100423";"3107400",#N/A,FALSE,"3107400";"Mixers",#N/A,FALSE,"Mixers";"3200500",#N/A,FALSE,"3200500"}</definedName>
    <definedName name="_xlnm.Print_Area" localSheetId="0">관리비_Kenneth!$A$1:$BC$52</definedName>
    <definedName name="rW_Data">#REF!</definedName>
    <definedName name="SAPBEXrevision" hidden="1">1</definedName>
    <definedName name="SAPBEXsysID" hidden="1">"WPC"</definedName>
    <definedName name="SAPBEXwbID" hidden="1">"90E95LQ4ZB1SOQCUKDDHP64RV"</definedName>
    <definedName name="Sheet1">#REF!</definedName>
    <definedName name="TEST1">#REF!</definedName>
    <definedName name="TESTHKEY">#REF!</definedName>
    <definedName name="TESTKEYS">#REF!</definedName>
    <definedName name="TESTVKEY">#REF!</definedName>
    <definedName name="wrn.LMT._.report." hidden="1">{"LMT",#N/A,FALSE,"LMT";"Sales",#N/A,FALSE,"Sales";"GMS",#N/A,FALSE,"GMS";"Stock",#N/A,FALSE,"Stock";"3100408",#N/A,FALSE,"3100408";"3106400",#N/A,FALSE,"3106400";"3100410",#N/A,FALSE,"3100410";"3100422",#N/A,FALSE,"3100422";"3100423",#N/A,FALSE,"3100423";"3107400",#N/A,FALSE,"3107400";"Mixers",#N/A,FALSE,"Mixers";"3200500",#N/A,FALSE,"3200500"}</definedName>
    <definedName name="ㄴ700">#REF!</definedName>
    <definedName name="보험">#REF!</definedName>
    <definedName name="보험1">#REF!</definedName>
    <definedName name="보험2">#REF!</definedName>
    <definedName name="시트">#REF!</definedName>
    <definedName name="신용대출">#REF!</definedName>
    <definedName name="아트자이2">#REF!</definedName>
    <definedName name="영등포아트장">#REF!</definedName>
    <definedName name="최혜경사랑해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228" i="1" l="1"/>
  <c r="AW228" i="1"/>
  <c r="BB227" i="1"/>
  <c r="BB228" i="1" s="1"/>
  <c r="AW227" i="1"/>
  <c r="BD226" i="1"/>
  <c r="BG225" i="1"/>
  <c r="BD225" i="1"/>
  <c r="BG224" i="1"/>
  <c r="BG227" i="1" s="1"/>
  <c r="BD224" i="1"/>
  <c r="BD227" i="1" s="1"/>
  <c r="BA219" i="1"/>
  <c r="AY219" i="1"/>
  <c r="AX219" i="1"/>
  <c r="BA218" i="1"/>
  <c r="AY218" i="1"/>
  <c r="AZ218" i="1" s="1"/>
  <c r="AX218" i="1"/>
  <c r="BA217" i="1"/>
  <c r="AY217" i="1"/>
  <c r="AZ217" i="1" s="1"/>
  <c r="AX217" i="1"/>
  <c r="BA216" i="1"/>
  <c r="AY216" i="1"/>
  <c r="AZ216" i="1" s="1"/>
  <c r="AX216" i="1"/>
  <c r="BA215" i="1"/>
  <c r="AY215" i="1"/>
  <c r="AX215" i="1"/>
  <c r="BA214" i="1"/>
  <c r="AY214" i="1"/>
  <c r="AZ214" i="1" s="1"/>
  <c r="AX214" i="1"/>
  <c r="BA213" i="1"/>
  <c r="AY213" i="1"/>
  <c r="AZ213" i="1" s="1"/>
  <c r="AX213" i="1"/>
  <c r="BA212" i="1"/>
  <c r="AY212" i="1"/>
  <c r="AZ212" i="1" s="1"/>
  <c r="AX212" i="1"/>
  <c r="BA211" i="1"/>
  <c r="AY211" i="1"/>
  <c r="AX211" i="1"/>
  <c r="BA210" i="1"/>
  <c r="AY210" i="1"/>
  <c r="AZ210" i="1" s="1"/>
  <c r="AX210" i="1"/>
  <c r="BA209" i="1"/>
  <c r="AY209" i="1"/>
  <c r="AZ209" i="1" s="1"/>
  <c r="AX209" i="1"/>
  <c r="BA208" i="1"/>
  <c r="AY208" i="1"/>
  <c r="AZ208" i="1" s="1"/>
  <c r="AX208" i="1"/>
  <c r="BA207" i="1"/>
  <c r="AY207" i="1"/>
  <c r="AX207" i="1"/>
  <c r="BA206" i="1"/>
  <c r="AY206" i="1"/>
  <c r="AZ206" i="1" s="1"/>
  <c r="AX206" i="1"/>
  <c r="BA205" i="1"/>
  <c r="AY205" i="1"/>
  <c r="AZ205" i="1" s="1"/>
  <c r="AX205" i="1"/>
  <c r="AY204" i="1"/>
  <c r="AL197" i="1"/>
  <c r="AK197" i="1"/>
  <c r="AI197" i="1"/>
  <c r="AG197" i="1"/>
  <c r="AE197" i="1"/>
  <c r="AD197" i="1"/>
  <c r="AC197" i="1"/>
  <c r="AB197" i="1"/>
  <c r="Y197" i="1"/>
  <c r="X197" i="1"/>
  <c r="W197" i="1"/>
  <c r="V197" i="1"/>
  <c r="U197" i="1"/>
  <c r="T197" i="1"/>
  <c r="Q197" i="1"/>
  <c r="P197" i="1"/>
  <c r="K197" i="1"/>
  <c r="I197" i="1"/>
  <c r="G197" i="1"/>
  <c r="F197" i="1"/>
  <c r="AL196" i="1"/>
  <c r="AK196" i="1"/>
  <c r="AI196" i="1"/>
  <c r="AG196" i="1"/>
  <c r="AE196" i="1"/>
  <c r="AD196" i="1"/>
  <c r="AC196" i="1"/>
  <c r="AB196" i="1"/>
  <c r="Y196" i="1"/>
  <c r="X196" i="1"/>
  <c r="W196" i="1"/>
  <c r="V196" i="1"/>
  <c r="U196" i="1"/>
  <c r="T196" i="1"/>
  <c r="Q196" i="1"/>
  <c r="P196" i="1"/>
  <c r="K196" i="1"/>
  <c r="I196" i="1"/>
  <c r="G196" i="1"/>
  <c r="F196" i="1"/>
  <c r="AL195" i="1"/>
  <c r="AK195" i="1"/>
  <c r="AI195" i="1"/>
  <c r="AG195" i="1"/>
  <c r="AE195" i="1"/>
  <c r="AD195" i="1"/>
  <c r="AC195" i="1"/>
  <c r="AB195" i="1"/>
  <c r="Y195" i="1"/>
  <c r="X195" i="1"/>
  <c r="W195" i="1"/>
  <c r="V195" i="1"/>
  <c r="U195" i="1"/>
  <c r="T195" i="1"/>
  <c r="Q195" i="1"/>
  <c r="P195" i="1"/>
  <c r="K195" i="1"/>
  <c r="I195" i="1"/>
  <c r="G195" i="1"/>
  <c r="F195" i="1"/>
  <c r="AL194" i="1"/>
  <c r="AK194" i="1"/>
  <c r="AI194" i="1"/>
  <c r="AG194" i="1"/>
  <c r="AE194" i="1"/>
  <c r="AD194" i="1"/>
  <c r="AC194" i="1"/>
  <c r="AB194" i="1"/>
  <c r="Y194" i="1"/>
  <c r="X194" i="1"/>
  <c r="W194" i="1"/>
  <c r="V194" i="1"/>
  <c r="U194" i="1"/>
  <c r="T194" i="1"/>
  <c r="Q194" i="1"/>
  <c r="P194" i="1"/>
  <c r="K194" i="1"/>
  <c r="I194" i="1"/>
  <c r="G194" i="1"/>
  <c r="F194" i="1"/>
  <c r="AE193" i="1"/>
  <c r="AD193" i="1"/>
  <c r="AC193" i="1"/>
  <c r="AB193" i="1"/>
  <c r="Y193" i="1"/>
  <c r="X193" i="1"/>
  <c r="W193" i="1"/>
  <c r="V193" i="1"/>
  <c r="U193" i="1"/>
  <c r="T193" i="1"/>
  <c r="Q193" i="1"/>
  <c r="P193" i="1"/>
  <c r="K193" i="1"/>
  <c r="J193" i="1"/>
  <c r="I193" i="1"/>
  <c r="F193" i="1"/>
  <c r="AE192" i="1"/>
  <c r="AD192" i="1"/>
  <c r="AC192" i="1"/>
  <c r="AB192" i="1"/>
  <c r="Z192" i="1"/>
  <c r="Y192" i="1"/>
  <c r="X192" i="1"/>
  <c r="W192" i="1"/>
  <c r="V192" i="1"/>
  <c r="U192" i="1"/>
  <c r="T192" i="1"/>
  <c r="R192" i="1"/>
  <c r="Q192" i="1"/>
  <c r="P192" i="1"/>
  <c r="O192" i="1"/>
  <c r="N192" i="1"/>
  <c r="M192" i="1"/>
  <c r="L192" i="1"/>
  <c r="K192" i="1"/>
  <c r="J192" i="1"/>
  <c r="I192" i="1"/>
  <c r="G192" i="1"/>
  <c r="F192" i="1"/>
  <c r="E192" i="1"/>
  <c r="AF191" i="1"/>
  <c r="AE191" i="1"/>
  <c r="AD191" i="1"/>
  <c r="AC191" i="1"/>
  <c r="AB191" i="1"/>
  <c r="Z191" i="1"/>
  <c r="Y191" i="1"/>
  <c r="W191" i="1"/>
  <c r="V191" i="1"/>
  <c r="U191" i="1"/>
  <c r="T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AO190" i="1"/>
  <c r="AN190" i="1"/>
  <c r="AL190" i="1"/>
  <c r="AK190" i="1"/>
  <c r="AJ190" i="1"/>
  <c r="AI190" i="1"/>
  <c r="AG190" i="1"/>
  <c r="AF190" i="1"/>
  <c r="AE190" i="1"/>
  <c r="AD190" i="1"/>
  <c r="AC190" i="1"/>
  <c r="AB190" i="1"/>
  <c r="Z190" i="1"/>
  <c r="Y190" i="1"/>
  <c r="X190" i="1"/>
  <c r="W190" i="1"/>
  <c r="V190" i="1"/>
  <c r="U190" i="1"/>
  <c r="T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AZ189" i="1"/>
  <c r="AZ190" i="1" s="1"/>
  <c r="AY189" i="1"/>
  <c r="AY190" i="1" s="1"/>
  <c r="AO189" i="1"/>
  <c r="AN189" i="1"/>
  <c r="AL189" i="1"/>
  <c r="AK189" i="1"/>
  <c r="AJ189" i="1"/>
  <c r="AI189" i="1"/>
  <c r="AG189" i="1"/>
  <c r="AF189" i="1"/>
  <c r="AE189" i="1"/>
  <c r="AD189" i="1"/>
  <c r="AC189" i="1"/>
  <c r="AB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AZ188" i="1"/>
  <c r="AY188" i="1"/>
  <c r="AO188" i="1"/>
  <c r="AN188" i="1"/>
  <c r="AL188" i="1"/>
  <c r="AK188" i="1"/>
  <c r="AJ188" i="1"/>
  <c r="AI188" i="1"/>
  <c r="AG188" i="1"/>
  <c r="AF188" i="1"/>
  <c r="AE188" i="1"/>
  <c r="AC188" i="1"/>
  <c r="AB188" i="1"/>
  <c r="Z188" i="1"/>
  <c r="Y188" i="1"/>
  <c r="X188" i="1"/>
  <c r="W188" i="1"/>
  <c r="V188" i="1"/>
  <c r="U188" i="1"/>
  <c r="T188" i="1"/>
  <c r="R188" i="1"/>
  <c r="Q188" i="1"/>
  <c r="P188" i="1"/>
  <c r="O188" i="1"/>
  <c r="M188" i="1"/>
  <c r="L188" i="1"/>
  <c r="K188" i="1"/>
  <c r="J188" i="1"/>
  <c r="I188" i="1"/>
  <c r="H188" i="1"/>
  <c r="G188" i="1"/>
  <c r="F188" i="1"/>
  <c r="E188" i="1"/>
  <c r="D188" i="1"/>
  <c r="C188" i="1"/>
  <c r="AO187" i="1"/>
  <c r="AN187" i="1"/>
  <c r="AL187" i="1"/>
  <c r="AK187" i="1"/>
  <c r="AJ187" i="1"/>
  <c r="AI187" i="1"/>
  <c r="AG187" i="1"/>
  <c r="AF187" i="1"/>
  <c r="AE187" i="1"/>
  <c r="AC187" i="1"/>
  <c r="AB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M187" i="1"/>
  <c r="L187" i="1"/>
  <c r="K187" i="1"/>
  <c r="J187" i="1"/>
  <c r="I187" i="1"/>
  <c r="H187" i="1"/>
  <c r="G187" i="1"/>
  <c r="F187" i="1"/>
  <c r="E187" i="1"/>
  <c r="D187" i="1"/>
  <c r="C187" i="1"/>
  <c r="AO186" i="1"/>
  <c r="AN186" i="1"/>
  <c r="AL186" i="1"/>
  <c r="AK186" i="1"/>
  <c r="AJ186" i="1"/>
  <c r="AI186" i="1"/>
  <c r="AG186" i="1"/>
  <c r="AF186" i="1"/>
  <c r="AE186" i="1"/>
  <c r="AC186" i="1"/>
  <c r="AB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M186" i="1"/>
  <c r="L186" i="1"/>
  <c r="K186" i="1"/>
  <c r="J186" i="1"/>
  <c r="I186" i="1"/>
  <c r="H186" i="1"/>
  <c r="G186" i="1"/>
  <c r="F186" i="1"/>
  <c r="E186" i="1"/>
  <c r="D186" i="1"/>
  <c r="C186" i="1"/>
  <c r="AO185" i="1"/>
  <c r="AN185" i="1"/>
  <c r="AL185" i="1"/>
  <c r="AK185" i="1"/>
  <c r="AJ185" i="1"/>
  <c r="AI185" i="1"/>
  <c r="AG185" i="1"/>
  <c r="AF185" i="1"/>
  <c r="AE185" i="1"/>
  <c r="AC185" i="1"/>
  <c r="AB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L183" i="1"/>
  <c r="AM183" i="1" s="1"/>
  <c r="AK183" i="1"/>
  <c r="AI183" i="1"/>
  <c r="AG183" i="1"/>
  <c r="AE183" i="1"/>
  <c r="AD183" i="1"/>
  <c r="AC183" i="1"/>
  <c r="AB183" i="1"/>
  <c r="Y183" i="1"/>
  <c r="X183" i="1"/>
  <c r="W183" i="1"/>
  <c r="V183" i="1"/>
  <c r="U183" i="1"/>
  <c r="T183" i="1"/>
  <c r="Q183" i="1"/>
  <c r="P183" i="1"/>
  <c r="K183" i="1"/>
  <c r="I183" i="1"/>
  <c r="G183" i="1"/>
  <c r="F183" i="1"/>
  <c r="AL182" i="1"/>
  <c r="AK182" i="1"/>
  <c r="AI182" i="1"/>
  <c r="AG182" i="1"/>
  <c r="AE182" i="1"/>
  <c r="AD182" i="1"/>
  <c r="AC182" i="1"/>
  <c r="AB182" i="1"/>
  <c r="Y182" i="1"/>
  <c r="X182" i="1"/>
  <c r="W182" i="1"/>
  <c r="V182" i="1"/>
  <c r="U182" i="1"/>
  <c r="T182" i="1"/>
  <c r="Q182" i="1"/>
  <c r="P182" i="1"/>
  <c r="K182" i="1"/>
  <c r="I182" i="1"/>
  <c r="G182" i="1"/>
  <c r="F182" i="1"/>
  <c r="AL181" i="1"/>
  <c r="AK181" i="1"/>
  <c r="AI181" i="1"/>
  <c r="AG181" i="1"/>
  <c r="AE181" i="1"/>
  <c r="AD181" i="1"/>
  <c r="AC181" i="1"/>
  <c r="AB181" i="1"/>
  <c r="Y181" i="1"/>
  <c r="X181" i="1"/>
  <c r="W181" i="1"/>
  <c r="V181" i="1"/>
  <c r="U181" i="1"/>
  <c r="T181" i="1"/>
  <c r="Q181" i="1"/>
  <c r="P181" i="1"/>
  <c r="K181" i="1"/>
  <c r="I181" i="1"/>
  <c r="G181" i="1"/>
  <c r="F181" i="1"/>
  <c r="AL180" i="1"/>
  <c r="AK180" i="1"/>
  <c r="AI180" i="1"/>
  <c r="AH181" i="1" s="1"/>
  <c r="AG180" i="1"/>
  <c r="AE180" i="1"/>
  <c r="AD180" i="1"/>
  <c r="AC180" i="1"/>
  <c r="AB180" i="1"/>
  <c r="Y180" i="1"/>
  <c r="X180" i="1"/>
  <c r="W180" i="1"/>
  <c r="V180" i="1"/>
  <c r="U180" i="1"/>
  <c r="T180" i="1"/>
  <c r="Q180" i="1"/>
  <c r="P180" i="1"/>
  <c r="K180" i="1"/>
  <c r="I180" i="1"/>
  <c r="G180" i="1"/>
  <c r="F180" i="1"/>
  <c r="AE179" i="1"/>
  <c r="AD179" i="1"/>
  <c r="AC179" i="1"/>
  <c r="AB179" i="1"/>
  <c r="Y179" i="1"/>
  <c r="X179" i="1"/>
  <c r="W179" i="1"/>
  <c r="V179" i="1"/>
  <c r="U179" i="1"/>
  <c r="T179" i="1"/>
  <c r="Q179" i="1"/>
  <c r="P179" i="1"/>
  <c r="K179" i="1"/>
  <c r="J179" i="1"/>
  <c r="I179" i="1"/>
  <c r="F179" i="1"/>
  <c r="AE178" i="1"/>
  <c r="AD178" i="1"/>
  <c r="AC178" i="1"/>
  <c r="AB178" i="1"/>
  <c r="Z178" i="1"/>
  <c r="Y178" i="1"/>
  <c r="X178" i="1"/>
  <c r="W178" i="1"/>
  <c r="V178" i="1"/>
  <c r="U178" i="1"/>
  <c r="T178" i="1"/>
  <c r="R178" i="1"/>
  <c r="Q178" i="1"/>
  <c r="P178" i="1"/>
  <c r="O178" i="1"/>
  <c r="N178" i="1"/>
  <c r="M178" i="1"/>
  <c r="L178" i="1"/>
  <c r="K178" i="1"/>
  <c r="J178" i="1"/>
  <c r="I178" i="1"/>
  <c r="G178" i="1"/>
  <c r="F178" i="1"/>
  <c r="E178" i="1"/>
  <c r="AF177" i="1"/>
  <c r="AE177" i="1"/>
  <c r="AD177" i="1"/>
  <c r="AC177" i="1"/>
  <c r="AB177" i="1"/>
  <c r="Z177" i="1"/>
  <c r="Y177" i="1"/>
  <c r="W177" i="1"/>
  <c r="V177" i="1"/>
  <c r="U177" i="1"/>
  <c r="T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AO176" i="1"/>
  <c r="AN176" i="1"/>
  <c r="AM176" i="1"/>
  <c r="AL176" i="1"/>
  <c r="AK176" i="1"/>
  <c r="AJ176" i="1"/>
  <c r="AI176" i="1"/>
  <c r="AH176" i="1" s="1"/>
  <c r="AG176" i="1"/>
  <c r="AF176" i="1"/>
  <c r="AE176" i="1"/>
  <c r="AD176" i="1"/>
  <c r="AC176" i="1"/>
  <c r="AB176" i="1"/>
  <c r="Z176" i="1"/>
  <c r="Y176" i="1"/>
  <c r="X176" i="1"/>
  <c r="W176" i="1"/>
  <c r="V176" i="1"/>
  <c r="U176" i="1"/>
  <c r="T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AO175" i="1"/>
  <c r="AN175" i="1"/>
  <c r="AL175" i="1"/>
  <c r="AK175" i="1"/>
  <c r="AJ175" i="1"/>
  <c r="AI175" i="1"/>
  <c r="AG175" i="1"/>
  <c r="AF175" i="1"/>
  <c r="AE175" i="1"/>
  <c r="AD175" i="1"/>
  <c r="AC175" i="1"/>
  <c r="AB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AO174" i="1"/>
  <c r="AN174" i="1"/>
  <c r="AP175" i="1" s="1"/>
  <c r="AL174" i="1"/>
  <c r="AJ174" i="1"/>
  <c r="AI174" i="1"/>
  <c r="AG174" i="1"/>
  <c r="AF174" i="1"/>
  <c r="AE174" i="1"/>
  <c r="AC174" i="1"/>
  <c r="AB174" i="1"/>
  <c r="Z174" i="1"/>
  <c r="W174" i="1"/>
  <c r="V174" i="1"/>
  <c r="U174" i="1"/>
  <c r="T174" i="1"/>
  <c r="R174" i="1"/>
  <c r="Q174" i="1"/>
  <c r="P174" i="1"/>
  <c r="O174" i="1"/>
  <c r="M174" i="1"/>
  <c r="L174" i="1"/>
  <c r="K174" i="1"/>
  <c r="J174" i="1"/>
  <c r="I174" i="1"/>
  <c r="H174" i="1"/>
  <c r="G174" i="1"/>
  <c r="F174" i="1"/>
  <c r="E174" i="1"/>
  <c r="D174" i="1"/>
  <c r="C174" i="1"/>
  <c r="AO173" i="1"/>
  <c r="AN173" i="1"/>
  <c r="AL173" i="1"/>
  <c r="AJ173" i="1"/>
  <c r="AI173" i="1"/>
  <c r="AH173" i="1" s="1"/>
  <c r="AG173" i="1"/>
  <c r="AF173" i="1"/>
  <c r="AE173" i="1"/>
  <c r="AC173" i="1"/>
  <c r="AB173" i="1"/>
  <c r="Z173" i="1"/>
  <c r="W173" i="1"/>
  <c r="V173" i="1"/>
  <c r="U173" i="1"/>
  <c r="T173" i="1"/>
  <c r="S173" i="1"/>
  <c r="R173" i="1"/>
  <c r="Q173" i="1"/>
  <c r="P173" i="1"/>
  <c r="O173" i="1"/>
  <c r="M173" i="1"/>
  <c r="L173" i="1"/>
  <c r="K173" i="1"/>
  <c r="J173" i="1"/>
  <c r="I173" i="1"/>
  <c r="H173" i="1"/>
  <c r="G173" i="1"/>
  <c r="F173" i="1"/>
  <c r="E173" i="1"/>
  <c r="D173" i="1"/>
  <c r="C173" i="1"/>
  <c r="A173" i="1" s="1"/>
  <c r="AO172" i="1"/>
  <c r="AN172" i="1"/>
  <c r="AL172" i="1"/>
  <c r="AJ172" i="1"/>
  <c r="AI172" i="1"/>
  <c r="AG172" i="1"/>
  <c r="AF172" i="1"/>
  <c r="AE172" i="1"/>
  <c r="AC172" i="1"/>
  <c r="AB172" i="1"/>
  <c r="Z172" i="1"/>
  <c r="W172" i="1"/>
  <c r="V172" i="1"/>
  <c r="U172" i="1"/>
  <c r="T172" i="1"/>
  <c r="S172" i="1"/>
  <c r="R172" i="1"/>
  <c r="Q172" i="1"/>
  <c r="P172" i="1"/>
  <c r="O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O171" i="1"/>
  <c r="AN171" i="1"/>
  <c r="AL171" i="1"/>
  <c r="AJ171" i="1"/>
  <c r="AI171" i="1"/>
  <c r="AG171" i="1"/>
  <c r="AF171" i="1"/>
  <c r="AE171" i="1"/>
  <c r="AC171" i="1"/>
  <c r="AB171" i="1"/>
  <c r="Z171" i="1"/>
  <c r="W171" i="1"/>
  <c r="V171" i="1"/>
  <c r="U171" i="1"/>
  <c r="T171" i="1"/>
  <c r="S171" i="1"/>
  <c r="R171" i="1"/>
  <c r="Q171" i="1"/>
  <c r="P171" i="1"/>
  <c r="O171" i="1"/>
  <c r="M171" i="1"/>
  <c r="L171" i="1"/>
  <c r="K171" i="1"/>
  <c r="J171" i="1"/>
  <c r="I171" i="1"/>
  <c r="H171" i="1"/>
  <c r="G171" i="1"/>
  <c r="F171" i="1"/>
  <c r="E171" i="1"/>
  <c r="D171" i="1"/>
  <c r="C171" i="1"/>
  <c r="AO169" i="1"/>
  <c r="AN169" i="1"/>
  <c r="AP169" i="1" s="1"/>
  <c r="AJ169" i="1"/>
  <c r="AP168" i="1"/>
  <c r="AO168" i="1"/>
  <c r="AJ168" i="1"/>
  <c r="E168" i="1"/>
  <c r="AO167" i="1"/>
  <c r="AN167" i="1"/>
  <c r="AJ167" i="1"/>
  <c r="AY166" i="1"/>
  <c r="AW166" i="1"/>
  <c r="AV166" i="1"/>
  <c r="AT166" i="1"/>
  <c r="AO166" i="1"/>
  <c r="AJ166" i="1"/>
  <c r="Z166" i="1"/>
  <c r="AW165" i="1"/>
  <c r="AV165" i="1"/>
  <c r="AU165" i="1"/>
  <c r="AT165" i="1"/>
  <c r="AJ165" i="1"/>
  <c r="Z165" i="1"/>
  <c r="AO165" i="1" s="1"/>
  <c r="AY165" i="1" s="1"/>
  <c r="AW164" i="1"/>
  <c r="AV164" i="1"/>
  <c r="AU164" i="1"/>
  <c r="AT164" i="1"/>
  <c r="AJ164" i="1"/>
  <c r="Z164" i="1"/>
  <c r="AO164" i="1" s="1"/>
  <c r="AY164" i="1" s="1"/>
  <c r="AW163" i="1"/>
  <c r="AV163" i="1"/>
  <c r="AT163" i="1"/>
  <c r="AO163" i="1"/>
  <c r="AY163" i="1" s="1"/>
  <c r="AJ163" i="1"/>
  <c r="AU163" i="1" s="1"/>
  <c r="Z163" i="1"/>
  <c r="AW162" i="1"/>
  <c r="AV162" i="1"/>
  <c r="AT162" i="1"/>
  <c r="AO162" i="1"/>
  <c r="AY162" i="1" s="1"/>
  <c r="AJ162" i="1"/>
  <c r="AU162" i="1" s="1"/>
  <c r="Z162" i="1"/>
  <c r="AY161" i="1"/>
  <c r="AW161" i="1"/>
  <c r="AV161" i="1"/>
  <c r="AU161" i="1"/>
  <c r="AT161" i="1"/>
  <c r="AJ161" i="1"/>
  <c r="Z161" i="1"/>
  <c r="AO161" i="1" s="1"/>
  <c r="H161" i="1"/>
  <c r="H162" i="1" s="1"/>
  <c r="H163" i="1" s="1"/>
  <c r="H164" i="1" s="1"/>
  <c r="H165" i="1" s="1"/>
  <c r="H166" i="1" s="1"/>
  <c r="AW160" i="1"/>
  <c r="AV160" i="1"/>
  <c r="AU160" i="1"/>
  <c r="AT160" i="1"/>
  <c r="AO160" i="1"/>
  <c r="AY160" i="1" s="1"/>
  <c r="AJ160" i="1"/>
  <c r="Z160" i="1"/>
  <c r="AW159" i="1"/>
  <c r="AV159" i="1"/>
  <c r="AT159" i="1"/>
  <c r="AO159" i="1"/>
  <c r="AY159" i="1" s="1"/>
  <c r="AJ159" i="1"/>
  <c r="Z159" i="1"/>
  <c r="AW158" i="1"/>
  <c r="AV158" i="1"/>
  <c r="AT158" i="1"/>
  <c r="AO158" i="1"/>
  <c r="AY158" i="1" s="1"/>
  <c r="AJ158" i="1"/>
  <c r="AU158" i="1" s="1"/>
  <c r="Z158" i="1"/>
  <c r="AW157" i="1"/>
  <c r="AV157" i="1"/>
  <c r="AT157" i="1"/>
  <c r="AJ157" i="1"/>
  <c r="Z157" i="1"/>
  <c r="AO157" i="1" s="1"/>
  <c r="AY157" i="1" s="1"/>
  <c r="H157" i="1"/>
  <c r="H158" i="1" s="1"/>
  <c r="H159" i="1" s="1"/>
  <c r="H160" i="1" s="1"/>
  <c r="AW156" i="1"/>
  <c r="AV156" i="1"/>
  <c r="AU156" i="1"/>
  <c r="AT156" i="1"/>
  <c r="AO156" i="1"/>
  <c r="AJ156" i="1"/>
  <c r="Z156" i="1"/>
  <c r="H156" i="1"/>
  <c r="H197" i="1" s="1"/>
  <c r="AW155" i="1"/>
  <c r="AV155" i="1"/>
  <c r="AT155" i="1"/>
  <c r="AO155" i="1"/>
  <c r="AJ155" i="1"/>
  <c r="Z155" i="1"/>
  <c r="AW154" i="1"/>
  <c r="AV154" i="1"/>
  <c r="AT154" i="1"/>
  <c r="AJ154" i="1"/>
  <c r="AU154" i="1" s="1"/>
  <c r="Z154" i="1"/>
  <c r="AO154" i="1" s="1"/>
  <c r="AW153" i="1"/>
  <c r="AV153" i="1"/>
  <c r="AT153" i="1"/>
  <c r="AJ153" i="1"/>
  <c r="Z153" i="1"/>
  <c r="AO153" i="1" s="1"/>
  <c r="H153" i="1"/>
  <c r="H154" i="1" s="1"/>
  <c r="AW152" i="1"/>
  <c r="AV152" i="1"/>
  <c r="AT152" i="1"/>
  <c r="AO152" i="1"/>
  <c r="AY152" i="1" s="1"/>
  <c r="AJ152" i="1"/>
  <c r="Z152" i="1"/>
  <c r="AY151" i="1"/>
  <c r="AW151" i="1"/>
  <c r="AV151" i="1"/>
  <c r="AT151" i="1"/>
  <c r="AO151" i="1"/>
  <c r="AJ151" i="1"/>
  <c r="AU151" i="1" s="1"/>
  <c r="Z151" i="1"/>
  <c r="AW150" i="1"/>
  <c r="AV150" i="1"/>
  <c r="AT150" i="1"/>
  <c r="AJ150" i="1"/>
  <c r="Z150" i="1"/>
  <c r="AO150" i="1" s="1"/>
  <c r="AY150" i="1" s="1"/>
  <c r="AW149" i="1"/>
  <c r="AV149" i="1"/>
  <c r="AT149" i="1"/>
  <c r="AJ149" i="1"/>
  <c r="AU149" i="1" s="1"/>
  <c r="Z149" i="1"/>
  <c r="AO149" i="1" s="1"/>
  <c r="AW148" i="1"/>
  <c r="AV148" i="1"/>
  <c r="AT148" i="1"/>
  <c r="AO148" i="1"/>
  <c r="AJ148" i="1"/>
  <c r="Z148" i="1"/>
  <c r="AY147" i="1"/>
  <c r="AW147" i="1"/>
  <c r="AV147" i="1"/>
  <c r="AU147" i="1"/>
  <c r="AT147" i="1"/>
  <c r="AO147" i="1"/>
  <c r="AJ147" i="1"/>
  <c r="AU159" i="1" s="1"/>
  <c r="Z147" i="1"/>
  <c r="AY146" i="1"/>
  <c r="AW146" i="1"/>
  <c r="AV146" i="1"/>
  <c r="AT146" i="1"/>
  <c r="AJ146" i="1"/>
  <c r="AU146" i="1" s="1"/>
  <c r="Z146" i="1"/>
  <c r="AO146" i="1" s="1"/>
  <c r="AW145" i="1"/>
  <c r="AV145" i="1"/>
  <c r="AT145" i="1"/>
  <c r="AJ145" i="1"/>
  <c r="Z145" i="1"/>
  <c r="AO145" i="1" s="1"/>
  <c r="H145" i="1"/>
  <c r="H146" i="1" s="1"/>
  <c r="H147" i="1" s="1"/>
  <c r="H148" i="1" s="1"/>
  <c r="H149" i="1" s="1"/>
  <c r="H150" i="1" s="1"/>
  <c r="H151" i="1" s="1"/>
  <c r="H152" i="1" s="1"/>
  <c r="AW144" i="1"/>
  <c r="AV144" i="1"/>
  <c r="AU144" i="1"/>
  <c r="AT144" i="1"/>
  <c r="AO144" i="1"/>
  <c r="AJ144" i="1"/>
  <c r="Z144" i="1"/>
  <c r="H144" i="1"/>
  <c r="AW143" i="1"/>
  <c r="AV143" i="1"/>
  <c r="AU143" i="1"/>
  <c r="AT143" i="1"/>
  <c r="AO143" i="1"/>
  <c r="AJ143" i="1"/>
  <c r="Z143" i="1"/>
  <c r="AY142" i="1"/>
  <c r="AW142" i="1"/>
  <c r="AV142" i="1"/>
  <c r="AT142" i="1"/>
  <c r="AO142" i="1"/>
  <c r="AJ142" i="1"/>
  <c r="Z142" i="1"/>
  <c r="AW141" i="1"/>
  <c r="AV141" i="1"/>
  <c r="AT141" i="1"/>
  <c r="AJ141" i="1"/>
  <c r="AU141" i="1" s="1"/>
  <c r="Z141" i="1"/>
  <c r="AO141" i="1" s="1"/>
  <c r="AY141" i="1" s="1"/>
  <c r="AW140" i="1"/>
  <c r="AV140" i="1"/>
  <c r="AT140" i="1"/>
  <c r="AJ140" i="1"/>
  <c r="Z140" i="1"/>
  <c r="AO140" i="1" s="1"/>
  <c r="AW139" i="1"/>
  <c r="AV139" i="1"/>
  <c r="AT139" i="1"/>
  <c r="AO139" i="1"/>
  <c r="AJ139" i="1"/>
  <c r="Z139" i="1"/>
  <c r="AW138" i="1"/>
  <c r="AV138" i="1"/>
  <c r="AU138" i="1"/>
  <c r="AT138" i="1"/>
  <c r="AO138" i="1"/>
  <c r="AJ138" i="1"/>
  <c r="Z138" i="1"/>
  <c r="AY137" i="1"/>
  <c r="AW137" i="1"/>
  <c r="AV137" i="1"/>
  <c r="AT137" i="1"/>
  <c r="AJ137" i="1"/>
  <c r="Z137" i="1"/>
  <c r="AO137" i="1" s="1"/>
  <c r="AW136" i="1"/>
  <c r="AV136" i="1"/>
  <c r="AT136" i="1"/>
  <c r="AJ136" i="1"/>
  <c r="Z136" i="1"/>
  <c r="AO136" i="1" s="1"/>
  <c r="AW135" i="1"/>
  <c r="AV135" i="1"/>
  <c r="AU135" i="1"/>
  <c r="AT135" i="1"/>
  <c r="AO135" i="1"/>
  <c r="AY135" i="1" s="1"/>
  <c r="AJ135" i="1"/>
  <c r="Z135" i="1"/>
  <c r="AW134" i="1"/>
  <c r="AV134" i="1"/>
  <c r="AU134" i="1"/>
  <c r="AT134" i="1"/>
  <c r="AO134" i="1"/>
  <c r="AJ134" i="1"/>
  <c r="Z134" i="1"/>
  <c r="AW133" i="1"/>
  <c r="AV133" i="1"/>
  <c r="AT133" i="1"/>
  <c r="AJ133" i="1"/>
  <c r="AU133" i="1" s="1"/>
  <c r="Z133" i="1"/>
  <c r="AO133" i="1" s="1"/>
  <c r="AY133" i="1" s="1"/>
  <c r="H133" i="1"/>
  <c r="AW132" i="1"/>
  <c r="AV132" i="1"/>
  <c r="AT132" i="1"/>
  <c r="AJ132" i="1"/>
  <c r="Z132" i="1"/>
  <c r="AO132" i="1" s="1"/>
  <c r="H132" i="1"/>
  <c r="AW131" i="1"/>
  <c r="AV131" i="1"/>
  <c r="AT131" i="1"/>
  <c r="AO131" i="1"/>
  <c r="AJ131" i="1"/>
  <c r="Z131" i="1"/>
  <c r="AV130" i="1"/>
  <c r="AT130" i="1"/>
  <c r="AJ130" i="1"/>
  <c r="Z130" i="1"/>
  <c r="AO130" i="1" s="1"/>
  <c r="AV129" i="1"/>
  <c r="AT129" i="1"/>
  <c r="AJ129" i="1"/>
  <c r="Z129" i="1"/>
  <c r="AO129" i="1" s="1"/>
  <c r="AV128" i="1"/>
  <c r="AT128" i="1"/>
  <c r="AJ128" i="1"/>
  <c r="Z128" i="1"/>
  <c r="AO128" i="1" s="1"/>
  <c r="AY140" i="1" s="1"/>
  <c r="AV127" i="1"/>
  <c r="AU127" i="1"/>
  <c r="AT127" i="1"/>
  <c r="AJ127" i="1"/>
  <c r="AU139" i="1" s="1"/>
  <c r="Z127" i="1"/>
  <c r="AO127" i="1" s="1"/>
  <c r="AV126" i="1"/>
  <c r="AT126" i="1"/>
  <c r="AO126" i="1"/>
  <c r="AY138" i="1" s="1"/>
  <c r="AJ126" i="1"/>
  <c r="Z126" i="1"/>
  <c r="AY125" i="1"/>
  <c r="AT125" i="1"/>
  <c r="AO125" i="1"/>
  <c r="AJ125" i="1"/>
  <c r="AU125" i="1" s="1"/>
  <c r="Z125" i="1"/>
  <c r="AW124" i="1"/>
  <c r="AT124" i="1"/>
  <c r="AO124" i="1"/>
  <c r="AY124" i="1" s="1"/>
  <c r="AJ124" i="1"/>
  <c r="Z124" i="1"/>
  <c r="J124" i="1"/>
  <c r="J125" i="1" s="1"/>
  <c r="J126" i="1" s="1"/>
  <c r="J127" i="1" s="1"/>
  <c r="J128" i="1" s="1"/>
  <c r="J129" i="1" s="1"/>
  <c r="J130" i="1" s="1"/>
  <c r="J131" i="1" s="1"/>
  <c r="AW123" i="1"/>
  <c r="AV123" i="1"/>
  <c r="AU123" i="1"/>
  <c r="AJ123" i="1"/>
  <c r="Z123" i="1"/>
  <c r="AO123" i="1" s="1"/>
  <c r="AW122" i="1"/>
  <c r="AT122" i="1"/>
  <c r="AJ122" i="1"/>
  <c r="Z122" i="1"/>
  <c r="AO122" i="1" s="1"/>
  <c r="AY122" i="1" s="1"/>
  <c r="AW121" i="1"/>
  <c r="AT121" i="1"/>
  <c r="AJ121" i="1"/>
  <c r="Z121" i="1"/>
  <c r="AO121" i="1" s="1"/>
  <c r="AY121" i="1" s="1"/>
  <c r="AW120" i="1"/>
  <c r="AT120" i="1"/>
  <c r="AJ120" i="1"/>
  <c r="Z120" i="1"/>
  <c r="AO120" i="1" s="1"/>
  <c r="AY120" i="1" s="1"/>
  <c r="J120" i="1"/>
  <c r="J121" i="1" s="1"/>
  <c r="J122" i="1" s="1"/>
  <c r="J123" i="1" s="1"/>
  <c r="H120" i="1"/>
  <c r="AW119" i="1"/>
  <c r="AV119" i="1"/>
  <c r="AJ119" i="1"/>
  <c r="Z119" i="1"/>
  <c r="J119" i="1"/>
  <c r="AT118" i="1"/>
  <c r="AJ118" i="1"/>
  <c r="AU118" i="1" s="1"/>
  <c r="O118" i="1"/>
  <c r="O119" i="1" s="1"/>
  <c r="AV117" i="1"/>
  <c r="AJ117" i="1"/>
  <c r="AU129" i="1" s="1"/>
  <c r="AV116" i="1"/>
  <c r="AJ116" i="1"/>
  <c r="N116" i="1"/>
  <c r="N117" i="1" s="1"/>
  <c r="N118" i="1" s="1"/>
  <c r="N119" i="1" s="1"/>
  <c r="AP115" i="1"/>
  <c r="AP116" i="1" s="1"/>
  <c r="AP117" i="1" s="1"/>
  <c r="AP118" i="1" s="1"/>
  <c r="AJ115" i="1"/>
  <c r="AU115" i="1" s="1"/>
  <c r="O115" i="1"/>
  <c r="O116" i="1" s="1"/>
  <c r="O117" i="1" s="1"/>
  <c r="N115" i="1"/>
  <c r="E115" i="1"/>
  <c r="AV114" i="1"/>
  <c r="AU114" i="1"/>
  <c r="AL114" i="1"/>
  <c r="AJ114" i="1"/>
  <c r="AU126" i="1" s="1"/>
  <c r="AF114" i="1"/>
  <c r="AF115" i="1" s="1"/>
  <c r="AF116" i="1" s="1"/>
  <c r="AF117" i="1" s="1"/>
  <c r="AF118" i="1" s="1"/>
  <c r="AF119" i="1" s="1"/>
  <c r="R114" i="1"/>
  <c r="R115" i="1" s="1"/>
  <c r="O114" i="1"/>
  <c r="N114" i="1"/>
  <c r="M114" i="1"/>
  <c r="L114" i="1"/>
  <c r="H114" i="1"/>
  <c r="G114" i="1"/>
  <c r="G115" i="1" s="1"/>
  <c r="G116" i="1" s="1"/>
  <c r="G117" i="1" s="1"/>
  <c r="G118" i="1" s="1"/>
  <c r="E114" i="1"/>
  <c r="AY113" i="1"/>
  <c r="AO113" i="1"/>
  <c r="AN113" i="1"/>
  <c r="AX113" i="1" s="1"/>
  <c r="AL113" i="1"/>
  <c r="AK113" i="1"/>
  <c r="AV125" i="1" s="1"/>
  <c r="AJ113" i="1"/>
  <c r="AU113" i="1" s="1"/>
  <c r="AI113" i="1"/>
  <c r="AG113" i="1"/>
  <c r="D113" i="1"/>
  <c r="C113" i="1"/>
  <c r="AV112" i="1"/>
  <c r="AO112" i="1"/>
  <c r="AY112" i="1" s="1"/>
  <c r="AN112" i="1"/>
  <c r="AX112" i="1" s="1"/>
  <c r="AL112" i="1"/>
  <c r="AK112" i="1"/>
  <c r="AV124" i="1" s="1"/>
  <c r="AJ112" i="1"/>
  <c r="AI112" i="1"/>
  <c r="AT112" i="1" s="1"/>
  <c r="D112" i="1"/>
  <c r="C112" i="1"/>
  <c r="AY111" i="1"/>
  <c r="AP111" i="1"/>
  <c r="AP112" i="1" s="1"/>
  <c r="AP113" i="1" s="1"/>
  <c r="AP114" i="1" s="1"/>
  <c r="AO111" i="1"/>
  <c r="AN111" i="1"/>
  <c r="AX111" i="1" s="1"/>
  <c r="AL111" i="1"/>
  <c r="AK111" i="1"/>
  <c r="AJ111" i="1"/>
  <c r="AI111" i="1"/>
  <c r="AT123" i="1" s="1"/>
  <c r="AG111" i="1"/>
  <c r="D111" i="1"/>
  <c r="C111" i="1"/>
  <c r="AW110" i="1"/>
  <c r="AT110" i="1"/>
  <c r="AO110" i="1"/>
  <c r="AY110" i="1" s="1"/>
  <c r="AN110" i="1"/>
  <c r="AX110" i="1" s="1"/>
  <c r="AL110" i="1"/>
  <c r="AK110" i="1"/>
  <c r="AJ110" i="1"/>
  <c r="AI110" i="1"/>
  <c r="AG110" i="1"/>
  <c r="D110" i="1"/>
  <c r="C110" i="1" s="1"/>
  <c r="AZ110" i="1" s="1"/>
  <c r="AW109" i="1"/>
  <c r="AT109" i="1"/>
  <c r="AO109" i="1"/>
  <c r="AY109" i="1" s="1"/>
  <c r="AN109" i="1"/>
  <c r="AL109" i="1"/>
  <c r="AK109" i="1"/>
  <c r="AJ109" i="1"/>
  <c r="AI109" i="1"/>
  <c r="AG109" i="1"/>
  <c r="D109" i="1"/>
  <c r="C109" i="1" s="1"/>
  <c r="AX108" i="1"/>
  <c r="AT108" i="1"/>
  <c r="AO108" i="1"/>
  <c r="AY108" i="1" s="1"/>
  <c r="AN108" i="1"/>
  <c r="AL108" i="1"/>
  <c r="AK108" i="1"/>
  <c r="AJ108" i="1"/>
  <c r="AU108" i="1" s="1"/>
  <c r="AI108" i="1"/>
  <c r="AG108" i="1"/>
  <c r="D108" i="1"/>
  <c r="C108" i="1" s="1"/>
  <c r="AZ108" i="1" s="1"/>
  <c r="AZ107" i="1"/>
  <c r="AX107" i="1"/>
  <c r="AO107" i="1"/>
  <c r="AN107" i="1"/>
  <c r="AL107" i="1"/>
  <c r="AK107" i="1"/>
  <c r="AJ107" i="1"/>
  <c r="AI107" i="1"/>
  <c r="AG107" i="1"/>
  <c r="D107" i="1"/>
  <c r="C107" i="1"/>
  <c r="AX106" i="1"/>
  <c r="AT106" i="1"/>
  <c r="AO106" i="1"/>
  <c r="AY106" i="1" s="1"/>
  <c r="AN106" i="1"/>
  <c r="AL106" i="1"/>
  <c r="AK106" i="1"/>
  <c r="AI106" i="1"/>
  <c r="AG106" i="1"/>
  <c r="D106" i="1"/>
  <c r="C106" i="1"/>
  <c r="AV105" i="1"/>
  <c r="AO105" i="1"/>
  <c r="AY105" i="1" s="1"/>
  <c r="AN105" i="1"/>
  <c r="AX105" i="1" s="1"/>
  <c r="AL105" i="1"/>
  <c r="AK105" i="1"/>
  <c r="AJ105" i="1"/>
  <c r="AU105" i="1" s="1"/>
  <c r="AI105" i="1"/>
  <c r="AG105" i="1"/>
  <c r="AF105" i="1"/>
  <c r="D105" i="1"/>
  <c r="C105" i="1"/>
  <c r="AX104" i="1"/>
  <c r="AO104" i="1"/>
  <c r="AY104" i="1" s="1"/>
  <c r="AN104" i="1"/>
  <c r="AK104" i="1"/>
  <c r="AV104" i="1" s="1"/>
  <c r="AJ104" i="1"/>
  <c r="AU104" i="1" s="1"/>
  <c r="AI104" i="1"/>
  <c r="AT116" i="1" s="1"/>
  <c r="AG104" i="1"/>
  <c r="D104" i="1"/>
  <c r="C104" i="1"/>
  <c r="AY103" i="1"/>
  <c r="AW103" i="1"/>
  <c r="AO103" i="1"/>
  <c r="AN103" i="1"/>
  <c r="AX103" i="1" s="1"/>
  <c r="AK103" i="1"/>
  <c r="AJ103" i="1"/>
  <c r="AU103" i="1" s="1"/>
  <c r="AI103" i="1"/>
  <c r="AT103" i="1" s="1"/>
  <c r="AG103" i="1"/>
  <c r="D103" i="1"/>
  <c r="C103" i="1" s="1"/>
  <c r="AY102" i="1"/>
  <c r="AX102" i="1"/>
  <c r="AW102" i="1"/>
  <c r="AU102" i="1"/>
  <c r="AO102" i="1"/>
  <c r="AN102" i="1"/>
  <c r="AK102" i="1"/>
  <c r="AV102" i="1" s="1"/>
  <c r="AJ102" i="1"/>
  <c r="AI102" i="1"/>
  <c r="AG102" i="1"/>
  <c r="D102" i="1"/>
  <c r="C102" i="1" s="1"/>
  <c r="AY101" i="1"/>
  <c r="AX101" i="1"/>
  <c r="AT101" i="1"/>
  <c r="AO101" i="1"/>
  <c r="AN101" i="1"/>
  <c r="AL101" i="1"/>
  <c r="AW101" i="1" s="1"/>
  <c r="AK101" i="1"/>
  <c r="AJ101" i="1"/>
  <c r="AU101" i="1" s="1"/>
  <c r="AI101" i="1"/>
  <c r="AG101" i="1"/>
  <c r="D101" i="1"/>
  <c r="C101" i="1" s="1"/>
  <c r="AY100" i="1"/>
  <c r="AX100" i="1"/>
  <c r="AV100" i="1"/>
  <c r="AO100" i="1"/>
  <c r="AN100" i="1"/>
  <c r="AL100" i="1"/>
  <c r="AW112" i="1" s="1"/>
  <c r="AK100" i="1"/>
  <c r="AJ100" i="1"/>
  <c r="AU100" i="1" s="1"/>
  <c r="AI100" i="1"/>
  <c r="AT100" i="1" s="1"/>
  <c r="AG100" i="1"/>
  <c r="D100" i="1"/>
  <c r="C100" i="1" s="1"/>
  <c r="AZ100" i="1" s="1"/>
  <c r="AY99" i="1"/>
  <c r="AX99" i="1"/>
  <c r="AW99" i="1"/>
  <c r="AT99" i="1"/>
  <c r="AO99" i="1"/>
  <c r="AN99" i="1"/>
  <c r="AL99" i="1"/>
  <c r="AW111" i="1" s="1"/>
  <c r="AK99" i="1"/>
  <c r="AJ99" i="1"/>
  <c r="AU99" i="1" s="1"/>
  <c r="AI99" i="1"/>
  <c r="AG99" i="1"/>
  <c r="D99" i="1"/>
  <c r="C99" i="1" s="1"/>
  <c r="AZ99" i="1" s="1"/>
  <c r="AY98" i="1"/>
  <c r="AX98" i="1"/>
  <c r="AV98" i="1"/>
  <c r="AU98" i="1"/>
  <c r="AO98" i="1"/>
  <c r="AN98" i="1"/>
  <c r="AL98" i="1"/>
  <c r="AW98" i="1" s="1"/>
  <c r="AK98" i="1"/>
  <c r="AJ98" i="1"/>
  <c r="AI98" i="1"/>
  <c r="AT98" i="1" s="1"/>
  <c r="AG98" i="1"/>
  <c r="D98" i="1"/>
  <c r="C98" i="1" s="1"/>
  <c r="AY97" i="1"/>
  <c r="AV97" i="1"/>
  <c r="AT97" i="1"/>
  <c r="AO97" i="1"/>
  <c r="AL97" i="1"/>
  <c r="AK97" i="1"/>
  <c r="AJ97" i="1"/>
  <c r="AU97" i="1" s="1"/>
  <c r="AI97" i="1"/>
  <c r="AG97" i="1"/>
  <c r="H97" i="1"/>
  <c r="AZ96" i="1"/>
  <c r="AY96" i="1"/>
  <c r="AU96" i="1"/>
  <c r="AO96" i="1"/>
  <c r="AN96" i="1"/>
  <c r="AX96" i="1" s="1"/>
  <c r="AL96" i="1"/>
  <c r="AK96" i="1"/>
  <c r="AK178" i="1" s="1"/>
  <c r="AJ96" i="1"/>
  <c r="AI96" i="1"/>
  <c r="AT96" i="1" s="1"/>
  <c r="AG96" i="1"/>
  <c r="D96" i="1"/>
  <c r="C96" i="1" s="1"/>
  <c r="AY95" i="1"/>
  <c r="AX95" i="1"/>
  <c r="AW95" i="1"/>
  <c r="AO95" i="1"/>
  <c r="AN95" i="1"/>
  <c r="AL95" i="1"/>
  <c r="AK95" i="1"/>
  <c r="AV95" i="1" s="1"/>
  <c r="AJ95" i="1"/>
  <c r="AI95" i="1"/>
  <c r="AG95" i="1"/>
  <c r="D95" i="1"/>
  <c r="C95" i="1" s="1"/>
  <c r="AY94" i="1"/>
  <c r="AX94" i="1"/>
  <c r="AV94" i="1"/>
  <c r="AO94" i="1"/>
  <c r="AN94" i="1"/>
  <c r="AL94" i="1"/>
  <c r="AK94" i="1"/>
  <c r="AK177" i="1" s="1"/>
  <c r="AJ94" i="1"/>
  <c r="AU106" i="1" s="1"/>
  <c r="AI94" i="1"/>
  <c r="AT94" i="1" s="1"/>
  <c r="AG94" i="1"/>
  <c r="X94" i="1"/>
  <c r="D94" i="1" s="1"/>
  <c r="C94" i="1" s="1"/>
  <c r="AZ94" i="1" s="1"/>
  <c r="AY93" i="1"/>
  <c r="AX93" i="1"/>
  <c r="AV93" i="1"/>
  <c r="AL93" i="1"/>
  <c r="AW105" i="1" s="1"/>
  <c r="AJ93" i="1"/>
  <c r="AI93" i="1"/>
  <c r="D93" i="1"/>
  <c r="C93" i="1"/>
  <c r="AZ93" i="1" s="1"/>
  <c r="AY92" i="1"/>
  <c r="AX92" i="1"/>
  <c r="AV92" i="1"/>
  <c r="AU92" i="1"/>
  <c r="AT92" i="1"/>
  <c r="AL92" i="1"/>
  <c r="AW92" i="1" s="1"/>
  <c r="D92" i="1"/>
  <c r="C92" i="1" s="1"/>
  <c r="AZ92" i="1" s="1"/>
  <c r="AY91" i="1"/>
  <c r="AX91" i="1"/>
  <c r="AW91" i="1"/>
  <c r="AV91" i="1"/>
  <c r="AU91" i="1"/>
  <c r="AT91" i="1"/>
  <c r="AL91" i="1"/>
  <c r="D91" i="1"/>
  <c r="C91" i="1"/>
  <c r="AY90" i="1"/>
  <c r="AX90" i="1"/>
  <c r="AV90" i="1"/>
  <c r="AU90" i="1"/>
  <c r="AT90" i="1"/>
  <c r="AL90" i="1"/>
  <c r="AW90" i="1" s="1"/>
  <c r="D90" i="1"/>
  <c r="C90" i="1"/>
  <c r="AY89" i="1"/>
  <c r="AX89" i="1"/>
  <c r="AV89" i="1"/>
  <c r="AU89" i="1"/>
  <c r="AT89" i="1"/>
  <c r="AL89" i="1"/>
  <c r="AW89" i="1" s="1"/>
  <c r="D89" i="1"/>
  <c r="C89" i="1" s="1"/>
  <c r="AZ89" i="1" s="1"/>
  <c r="AY88" i="1"/>
  <c r="AX88" i="1"/>
  <c r="AV88" i="1"/>
  <c r="AU88" i="1"/>
  <c r="AT88" i="1"/>
  <c r="AL88" i="1"/>
  <c r="AW88" i="1" s="1"/>
  <c r="D88" i="1"/>
  <c r="C88" i="1" s="1"/>
  <c r="AZ88" i="1" s="1"/>
  <c r="AY87" i="1"/>
  <c r="AX87" i="1"/>
  <c r="AW87" i="1"/>
  <c r="AV87" i="1"/>
  <c r="AU87" i="1"/>
  <c r="AT87" i="1"/>
  <c r="AL87" i="1"/>
  <c r="D87" i="1"/>
  <c r="C87" i="1"/>
  <c r="AY86" i="1"/>
  <c r="AX86" i="1"/>
  <c r="AV86" i="1"/>
  <c r="AU86" i="1"/>
  <c r="AT86" i="1"/>
  <c r="AL86" i="1"/>
  <c r="AW86" i="1" s="1"/>
  <c r="D86" i="1"/>
  <c r="C86" i="1" s="1"/>
  <c r="AZ86" i="1" s="1"/>
  <c r="AY85" i="1"/>
  <c r="AX85" i="1"/>
  <c r="AV85" i="1"/>
  <c r="AU85" i="1"/>
  <c r="AT85" i="1"/>
  <c r="AL85" i="1"/>
  <c r="D85" i="1"/>
  <c r="C85" i="1"/>
  <c r="AZ85" i="1" s="1"/>
  <c r="AY84" i="1"/>
  <c r="AX84" i="1"/>
  <c r="AV84" i="1"/>
  <c r="AU84" i="1"/>
  <c r="AT84" i="1"/>
  <c r="AL84" i="1"/>
  <c r="AW84" i="1" s="1"/>
  <c r="D84" i="1"/>
  <c r="C84" i="1" s="1"/>
  <c r="AZ84" i="1" s="1"/>
  <c r="AY83" i="1"/>
  <c r="AX83" i="1"/>
  <c r="AW83" i="1"/>
  <c r="AV83" i="1"/>
  <c r="AU83" i="1"/>
  <c r="AT83" i="1"/>
  <c r="AL83" i="1"/>
  <c r="D83" i="1"/>
  <c r="C83" i="1"/>
  <c r="AZ95" i="1" s="1"/>
  <c r="D82" i="1"/>
  <c r="C82" i="1" s="1"/>
  <c r="D81" i="1"/>
  <c r="C81" i="1"/>
  <c r="D80" i="1"/>
  <c r="C80" i="1" s="1"/>
  <c r="D79" i="1"/>
  <c r="C79" i="1"/>
  <c r="D78" i="1"/>
  <c r="C78" i="1" s="1"/>
  <c r="D77" i="1"/>
  <c r="C77" i="1"/>
  <c r="D76" i="1"/>
  <c r="C76" i="1" s="1"/>
  <c r="D75" i="1"/>
  <c r="C75" i="1"/>
  <c r="D74" i="1"/>
  <c r="C74" i="1"/>
  <c r="D73" i="1"/>
  <c r="C73" i="1" s="1"/>
  <c r="D72" i="1"/>
  <c r="C72" i="1" s="1"/>
  <c r="D71" i="1"/>
  <c r="C71" i="1"/>
  <c r="D70" i="1"/>
  <c r="C70" i="1" s="1"/>
  <c r="D69" i="1"/>
  <c r="C69" i="1"/>
  <c r="D68" i="1"/>
  <c r="C68" i="1" s="1"/>
  <c r="D67" i="1"/>
  <c r="C67" i="1"/>
  <c r="D66" i="1"/>
  <c r="C66" i="1"/>
  <c r="D65" i="1"/>
  <c r="C65" i="1"/>
  <c r="D64" i="1"/>
  <c r="C64" i="1" s="1"/>
  <c r="D63" i="1"/>
  <c r="C63" i="1"/>
  <c r="D62" i="1"/>
  <c r="C62" i="1" s="1"/>
  <c r="D61" i="1"/>
  <c r="C61" i="1" s="1"/>
  <c r="D60" i="1"/>
  <c r="C60" i="1" s="1"/>
  <c r="D59" i="1"/>
  <c r="C59" i="1"/>
  <c r="D58" i="1"/>
  <c r="C58" i="1"/>
  <c r="D57" i="1"/>
  <c r="C57" i="1"/>
  <c r="D56" i="1"/>
  <c r="C56" i="1" s="1"/>
  <c r="D52" i="1"/>
  <c r="C52" i="1"/>
  <c r="B52" i="1"/>
  <c r="BJ51" i="1"/>
  <c r="BI51" i="1"/>
  <c r="BJ50" i="1"/>
  <c r="BI50" i="1"/>
  <c r="BJ49" i="1"/>
  <c r="BI49" i="1"/>
  <c r="BJ48" i="1"/>
  <c r="BJ46" i="1"/>
  <c r="BJ45" i="1"/>
  <c r="BJ44" i="1"/>
  <c r="BI44" i="1"/>
  <c r="BJ43" i="1"/>
  <c r="BI43" i="1"/>
  <c r="BJ42" i="1"/>
  <c r="BI42" i="1"/>
  <c r="BJ41" i="1"/>
  <c r="BI41" i="1"/>
  <c r="BJ40" i="1"/>
  <c r="BI40" i="1"/>
  <c r="BJ39" i="1"/>
  <c r="BI39" i="1"/>
  <c r="BJ38" i="1"/>
  <c r="BI38" i="1"/>
  <c r="BJ37" i="1"/>
  <c r="BI37" i="1"/>
  <c r="BJ36" i="1"/>
  <c r="BJ35" i="1"/>
  <c r="BJ34" i="1"/>
  <c r="BJ33" i="1"/>
  <c r="BJ32" i="1"/>
  <c r="BI32" i="1"/>
  <c r="BJ31" i="1"/>
  <c r="BI31" i="1"/>
  <c r="BJ30" i="1"/>
  <c r="BI30" i="1"/>
  <c r="BJ29" i="1"/>
  <c r="BI29" i="1"/>
  <c r="BJ28" i="1"/>
  <c r="BI28" i="1"/>
  <c r="BJ27" i="1"/>
  <c r="BI27" i="1"/>
  <c r="BJ26" i="1"/>
  <c r="BI26" i="1"/>
  <c r="BJ25" i="1"/>
  <c r="BI25" i="1"/>
  <c r="BJ24" i="1"/>
  <c r="BJ23" i="1"/>
  <c r="BJ22" i="1"/>
  <c r="BJ21" i="1"/>
  <c r="BI21" i="1"/>
  <c r="BJ20" i="1"/>
  <c r="BI20" i="1"/>
  <c r="BJ19" i="1"/>
  <c r="BI19" i="1"/>
  <c r="BJ18" i="1"/>
  <c r="BI18" i="1"/>
  <c r="BJ17" i="1"/>
  <c r="BI17" i="1"/>
  <c r="BJ16" i="1"/>
  <c r="BI16" i="1"/>
  <c r="BJ15" i="1"/>
  <c r="BI15" i="1"/>
  <c r="BJ14" i="1"/>
  <c r="BI14" i="1"/>
  <c r="BJ13" i="1"/>
  <c r="BI13" i="1"/>
  <c r="BJ12" i="1"/>
  <c r="BJ11" i="1"/>
  <c r="BJ10" i="1"/>
  <c r="BJ9" i="1"/>
  <c r="BJ8" i="1"/>
  <c r="BI8" i="1"/>
  <c r="BJ7" i="1"/>
  <c r="BI7" i="1"/>
  <c r="BJ6" i="1"/>
  <c r="BI6" i="1"/>
  <c r="AQ174" i="1" l="1"/>
  <c r="AP173" i="1"/>
  <c r="AH174" i="1"/>
  <c r="AP187" i="1"/>
  <c r="AM175" i="1"/>
  <c r="AM174" i="1"/>
  <c r="AP167" i="1"/>
  <c r="AP174" i="1"/>
  <c r="AF120" i="1"/>
  <c r="AF121" i="1" s="1"/>
  <c r="AF122" i="1" s="1"/>
  <c r="AF123" i="1" s="1"/>
  <c r="AF124" i="1" s="1"/>
  <c r="AF125" i="1" s="1"/>
  <c r="AF126" i="1" s="1"/>
  <c r="AF127" i="1" s="1"/>
  <c r="AF128" i="1" s="1"/>
  <c r="AF129" i="1" s="1"/>
  <c r="AF130" i="1" s="1"/>
  <c r="AF131" i="1" s="1"/>
  <c r="O194" i="1"/>
  <c r="O120" i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N120" i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J132" i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95" i="1"/>
  <c r="AV101" i="1"/>
  <c r="AV113" i="1"/>
  <c r="AZ109" i="1"/>
  <c r="AL115" i="1"/>
  <c r="AW114" i="1"/>
  <c r="Z114" i="1"/>
  <c r="AW126" i="1"/>
  <c r="AY132" i="1"/>
  <c r="AU94" i="1"/>
  <c r="AJ192" i="1"/>
  <c r="AJ178" i="1"/>
  <c r="AU95" i="1"/>
  <c r="AV111" i="1"/>
  <c r="AV99" i="1"/>
  <c r="AT114" i="1"/>
  <c r="AT102" i="1"/>
  <c r="AZ106" i="1"/>
  <c r="AU111" i="1"/>
  <c r="L115" i="1"/>
  <c r="L116" i="1" s="1"/>
  <c r="L117" i="1" s="1"/>
  <c r="L118" i="1" s="1"/>
  <c r="L119" i="1" s="1"/>
  <c r="AJ180" i="1"/>
  <c r="AJ194" i="1"/>
  <c r="AU131" i="1"/>
  <c r="AU119" i="1"/>
  <c r="AJ191" i="1"/>
  <c r="AU93" i="1"/>
  <c r="AJ177" i="1"/>
  <c r="AL192" i="1"/>
  <c r="AL178" i="1"/>
  <c r="AM178" i="1" s="1"/>
  <c r="AW107" i="1"/>
  <c r="AV96" i="1"/>
  <c r="AW104" i="1"/>
  <c r="AY107" i="1"/>
  <c r="E116" i="1"/>
  <c r="AU117" i="1"/>
  <c r="D175" i="1"/>
  <c r="AW85" i="1"/>
  <c r="AW97" i="1"/>
  <c r="AG177" i="1"/>
  <c r="AG191" i="1"/>
  <c r="AZ101" i="1"/>
  <c r="AU130" i="1"/>
  <c r="AU142" i="1"/>
  <c r="AY145" i="1"/>
  <c r="AZ91" i="1"/>
  <c r="AZ103" i="1"/>
  <c r="AW108" i="1"/>
  <c r="AW96" i="1"/>
  <c r="AJ193" i="1"/>
  <c r="AJ179" i="1"/>
  <c r="AU107" i="1"/>
  <c r="AU136" i="1"/>
  <c r="AU148" i="1"/>
  <c r="AI192" i="1"/>
  <c r="AI178" i="1"/>
  <c r="AT95" i="1"/>
  <c r="AT107" i="1"/>
  <c r="C177" i="1"/>
  <c r="C191" i="1"/>
  <c r="AZ83" i="1"/>
  <c r="AV106" i="1"/>
  <c r="AV118" i="1"/>
  <c r="AU110" i="1"/>
  <c r="AU122" i="1"/>
  <c r="AZ111" i="1"/>
  <c r="AZ113" i="1"/>
  <c r="R116" i="1"/>
  <c r="R117" i="1" s="1"/>
  <c r="R118" i="1" s="1"/>
  <c r="R119" i="1" s="1"/>
  <c r="AY123" i="1"/>
  <c r="AH172" i="1"/>
  <c r="AZ102" i="1"/>
  <c r="AZ90" i="1"/>
  <c r="AZ105" i="1"/>
  <c r="C175" i="1"/>
  <c r="A175" i="1" s="1"/>
  <c r="C189" i="1"/>
  <c r="AW93" i="1"/>
  <c r="AW106" i="1"/>
  <c r="AW94" i="1"/>
  <c r="AW100" i="1"/>
  <c r="AV115" i="1"/>
  <c r="AV103" i="1"/>
  <c r="AX109" i="1"/>
  <c r="AV110" i="1"/>
  <c r="AV122" i="1"/>
  <c r="AZ87" i="1"/>
  <c r="AN191" i="1"/>
  <c r="AN177" i="1"/>
  <c r="C192" i="1"/>
  <c r="M179" i="1"/>
  <c r="M193" i="1"/>
  <c r="M115" i="1"/>
  <c r="M116" i="1" s="1"/>
  <c r="M117" i="1" s="1"/>
  <c r="M118" i="1" s="1"/>
  <c r="M119" i="1" s="1"/>
  <c r="AN114" i="1"/>
  <c r="AX114" i="1" s="1"/>
  <c r="AT115" i="1"/>
  <c r="AU132" i="1"/>
  <c r="AJ181" i="1"/>
  <c r="AY149" i="1"/>
  <c r="Z197" i="1"/>
  <c r="AK191" i="1"/>
  <c r="AI191" i="1"/>
  <c r="AI177" i="1"/>
  <c r="AH177" i="1" s="1"/>
  <c r="AT93" i="1"/>
  <c r="AG192" i="1"/>
  <c r="AG178" i="1"/>
  <c r="AZ98" i="1"/>
  <c r="AT104" i="1"/>
  <c r="AT117" i="1"/>
  <c r="AT105" i="1"/>
  <c r="AV120" i="1"/>
  <c r="AV108" i="1"/>
  <c r="AT113" i="1"/>
  <c r="N179" i="1"/>
  <c r="N193" i="1"/>
  <c r="AU145" i="1"/>
  <c r="AK192" i="1"/>
  <c r="H192" i="1"/>
  <c r="H178" i="1"/>
  <c r="D97" i="1"/>
  <c r="C97" i="1" s="1"/>
  <c r="AZ97" i="1" s="1"/>
  <c r="AN97" i="1"/>
  <c r="AX97" i="1" s="1"/>
  <c r="AZ104" i="1"/>
  <c r="AK193" i="1"/>
  <c r="AV107" i="1"/>
  <c r="AU112" i="1"/>
  <c r="AW125" i="1"/>
  <c r="AW113" i="1"/>
  <c r="D114" i="1"/>
  <c r="AU120" i="1"/>
  <c r="AU124" i="1"/>
  <c r="AY136" i="1"/>
  <c r="AM172" i="1"/>
  <c r="AM173" i="1"/>
  <c r="AK179" i="1"/>
  <c r="AU109" i="1"/>
  <c r="AZ112" i="1"/>
  <c r="G193" i="1"/>
  <c r="G179" i="1"/>
  <c r="AF179" i="1"/>
  <c r="AF193" i="1"/>
  <c r="AO195" i="1"/>
  <c r="AO181" i="1"/>
  <c r="D189" i="1"/>
  <c r="C190" i="1"/>
  <c r="AN192" i="1"/>
  <c r="AV121" i="1"/>
  <c r="AV109" i="1"/>
  <c r="AU116" i="1"/>
  <c r="J180" i="1"/>
  <c r="J194" i="1"/>
  <c r="AU121" i="1"/>
  <c r="AU152" i="1"/>
  <c r="AU140" i="1"/>
  <c r="C176" i="1"/>
  <c r="C178" i="1"/>
  <c r="A178" i="1" s="1"/>
  <c r="H115" i="1"/>
  <c r="H116" i="1" s="1"/>
  <c r="H117" i="1" s="1"/>
  <c r="H118" i="1" s="1"/>
  <c r="Z180" i="1"/>
  <c r="Z194" i="1"/>
  <c r="AY134" i="1"/>
  <c r="AO196" i="1"/>
  <c r="AO182" i="1"/>
  <c r="AY143" i="1"/>
  <c r="H196" i="1"/>
  <c r="H182" i="1"/>
  <c r="AY144" i="1"/>
  <c r="AU150" i="1"/>
  <c r="AJ183" i="1"/>
  <c r="AJ197" i="1"/>
  <c r="AU155" i="1"/>
  <c r="A174" i="1"/>
  <c r="AH183" i="1"/>
  <c r="AH182" i="1"/>
  <c r="D190" i="1"/>
  <c r="D177" i="1"/>
  <c r="D191" i="1"/>
  <c r="AO191" i="1"/>
  <c r="AO177" i="1"/>
  <c r="AO192" i="1"/>
  <c r="AF192" i="1"/>
  <c r="AF178" i="1"/>
  <c r="AG193" i="1"/>
  <c r="AG179" i="1"/>
  <c r="AT111" i="1"/>
  <c r="O193" i="1"/>
  <c r="O179" i="1"/>
  <c r="AO119" i="1"/>
  <c r="AY131" i="1" s="1"/>
  <c r="AU128" i="1"/>
  <c r="AU137" i="1"/>
  <c r="AY139" i="1"/>
  <c r="Z182" i="1"/>
  <c r="AY148" i="1"/>
  <c r="AY153" i="1"/>
  <c r="AY156" i="1"/>
  <c r="AR172" i="1"/>
  <c r="AP172" i="1"/>
  <c r="AO178" i="1"/>
  <c r="AL177" i="1"/>
  <c r="AM177" i="1" s="1"/>
  <c r="AL191" i="1"/>
  <c r="X177" i="1"/>
  <c r="X191" i="1"/>
  <c r="D178" i="1"/>
  <c r="D192" i="1"/>
  <c r="AI193" i="1"/>
  <c r="AI179" i="1"/>
  <c r="AT119" i="1"/>
  <c r="R193" i="1"/>
  <c r="H121" i="1"/>
  <c r="AU153" i="1"/>
  <c r="AU157" i="1"/>
  <c r="AU166" i="1"/>
  <c r="AT173" i="1"/>
  <c r="AQ173" i="1"/>
  <c r="AM182" i="1"/>
  <c r="AM181" i="1"/>
  <c r="H195" i="1"/>
  <c r="H134" i="1"/>
  <c r="H135" i="1" s="1"/>
  <c r="H136" i="1" s="1"/>
  <c r="H137" i="1" s="1"/>
  <c r="H138" i="1" s="1"/>
  <c r="H139" i="1" s="1"/>
  <c r="H140" i="1" s="1"/>
  <c r="H141" i="1" s="1"/>
  <c r="H142" i="1" s="1"/>
  <c r="AY154" i="1"/>
  <c r="AQ172" i="1"/>
  <c r="AT172" i="1"/>
  <c r="Z195" i="1"/>
  <c r="Z181" i="1"/>
  <c r="AJ182" i="1"/>
  <c r="AJ196" i="1"/>
  <c r="B186" i="1"/>
  <c r="B173" i="1"/>
  <c r="AQ175" i="1"/>
  <c r="AQ176" i="1"/>
  <c r="AJ195" i="1"/>
  <c r="AO183" i="1"/>
  <c r="AO197" i="1"/>
  <c r="AZ211" i="1"/>
  <c r="AZ219" i="1"/>
  <c r="BG228" i="1"/>
  <c r="BG226" i="1"/>
  <c r="BG229" i="1" s="1"/>
  <c r="Z196" i="1"/>
  <c r="AY155" i="1"/>
  <c r="A172" i="1"/>
  <c r="AR173" i="1"/>
  <c r="AZ207" i="1"/>
  <c r="AZ215" i="1"/>
  <c r="BD229" i="1"/>
  <c r="AP176" i="1"/>
  <c r="H183" i="1"/>
  <c r="Z183" i="1"/>
  <c r="AP188" i="1"/>
  <c r="BG231" i="1" l="1"/>
  <c r="BG232" i="1" s="1"/>
  <c r="BG230" i="1"/>
  <c r="B187" i="1"/>
  <c r="AR174" i="1"/>
  <c r="AT174" i="1"/>
  <c r="B174" i="1"/>
  <c r="AQ183" i="1"/>
  <c r="AP189" i="1"/>
  <c r="AF180" i="1"/>
  <c r="BD231" i="1"/>
  <c r="BD230" i="1"/>
  <c r="BD232" i="1" s="1"/>
  <c r="C114" i="1"/>
  <c r="R180" i="1"/>
  <c r="R120" i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AL116" i="1"/>
  <c r="Z115" i="1"/>
  <c r="AO115" i="1" s="1"/>
  <c r="AW127" i="1"/>
  <c r="AW115" i="1"/>
  <c r="N194" i="1"/>
  <c r="AP192" i="1"/>
  <c r="AP191" i="1"/>
  <c r="AP177" i="1"/>
  <c r="A177" i="1"/>
  <c r="O181" i="1"/>
  <c r="O195" i="1"/>
  <c r="O132" i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D115" i="1"/>
  <c r="H122" i="1"/>
  <c r="H123" i="1" s="1"/>
  <c r="H124" i="1" s="1"/>
  <c r="H125" i="1" s="1"/>
  <c r="H126" i="1" s="1"/>
  <c r="H127" i="1" s="1"/>
  <c r="H128" i="1" s="1"/>
  <c r="H129" i="1" s="1"/>
  <c r="H130" i="1" s="1"/>
  <c r="H193" i="1"/>
  <c r="AP190" i="1"/>
  <c r="H180" i="1"/>
  <c r="AQ182" i="1"/>
  <c r="N195" i="1"/>
  <c r="N132" i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H181" i="1"/>
  <c r="L179" i="1"/>
  <c r="AQ181" i="1"/>
  <c r="R179" i="1"/>
  <c r="L193" i="1"/>
  <c r="N180" i="1"/>
  <c r="AT175" i="1"/>
  <c r="AH179" i="1"/>
  <c r="AH180" i="1"/>
  <c r="AQ178" i="1"/>
  <c r="A176" i="1"/>
  <c r="AN178" i="1"/>
  <c r="AN116" i="1"/>
  <c r="AX116" i="1" s="1"/>
  <c r="E117" i="1"/>
  <c r="D116" i="1"/>
  <c r="O180" i="1"/>
  <c r="AO194" i="1"/>
  <c r="AO180" i="1"/>
  <c r="AY119" i="1"/>
  <c r="AQ177" i="1"/>
  <c r="H179" i="1"/>
  <c r="M120" i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AN115" i="1"/>
  <c r="J181" i="1"/>
  <c r="AF194" i="1"/>
  <c r="AH178" i="1"/>
  <c r="AO114" i="1"/>
  <c r="J144" i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96" i="1"/>
  <c r="AF195" i="1"/>
  <c r="AF181" i="1"/>
  <c r="AF132" i="1"/>
  <c r="AF133" i="1" s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L194" i="1"/>
  <c r="L180" i="1"/>
  <c r="L120" i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AN117" i="1" l="1"/>
  <c r="AX117" i="1" s="1"/>
  <c r="E118" i="1"/>
  <c r="E193" i="1" s="1"/>
  <c r="D117" i="1"/>
  <c r="E179" i="1"/>
  <c r="AZ114" i="1"/>
  <c r="AP178" i="1"/>
  <c r="J197" i="1"/>
  <c r="J183" i="1"/>
  <c r="J156" i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AX115" i="1"/>
  <c r="N196" i="1"/>
  <c r="N144" i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B175" i="1"/>
  <c r="B188" i="1"/>
  <c r="L132" i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81" i="1"/>
  <c r="J182" i="1"/>
  <c r="M180" i="1"/>
  <c r="AR175" i="1"/>
  <c r="N181" i="1"/>
  <c r="H194" i="1"/>
  <c r="AY115" i="1"/>
  <c r="AY127" i="1"/>
  <c r="AY114" i="1"/>
  <c r="AY126" i="1"/>
  <c r="M132" i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81" i="1"/>
  <c r="AL117" i="1"/>
  <c r="Z116" i="1"/>
  <c r="AW128" i="1"/>
  <c r="AW116" i="1"/>
  <c r="M194" i="1"/>
  <c r="C115" i="1"/>
  <c r="AZ115" i="1" s="1"/>
  <c r="R181" i="1"/>
  <c r="R195" i="1"/>
  <c r="R132" i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AR187" i="1"/>
  <c r="AR188" i="1"/>
  <c r="AF196" i="1"/>
  <c r="AF182" i="1"/>
  <c r="AF144" i="1"/>
  <c r="AF145" i="1" s="1"/>
  <c r="AF146" i="1" s="1"/>
  <c r="AF147" i="1" s="1"/>
  <c r="AF148" i="1" s="1"/>
  <c r="AF149" i="1" s="1"/>
  <c r="AF150" i="1" s="1"/>
  <c r="AF151" i="1" s="1"/>
  <c r="AF152" i="1" s="1"/>
  <c r="AF153" i="1" s="1"/>
  <c r="AF154" i="1" s="1"/>
  <c r="AF155" i="1" s="1"/>
  <c r="C116" i="1"/>
  <c r="AZ116" i="1" s="1"/>
  <c r="O144" i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R194" i="1"/>
  <c r="M182" i="1" l="1"/>
  <c r="M196" i="1"/>
  <c r="M144" i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L144" i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AN179" i="1"/>
  <c r="O196" i="1"/>
  <c r="L195" i="1"/>
  <c r="O197" i="1"/>
  <c r="O156" i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AR177" i="1"/>
  <c r="AN193" i="1"/>
  <c r="O182" i="1"/>
  <c r="M195" i="1"/>
  <c r="R144" i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96" i="1"/>
  <c r="B189" i="1"/>
  <c r="B176" i="1"/>
  <c r="AR176" i="1"/>
  <c r="AT176" i="1"/>
  <c r="AT177" i="1"/>
  <c r="AO116" i="1"/>
  <c r="N156" i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83" i="1"/>
  <c r="N197" i="1"/>
  <c r="D193" i="1"/>
  <c r="AF156" i="1"/>
  <c r="AF157" i="1" s="1"/>
  <c r="AF158" i="1" s="1"/>
  <c r="AF159" i="1" s="1"/>
  <c r="AF160" i="1" s="1"/>
  <c r="AF161" i="1" s="1"/>
  <c r="AF162" i="1" s="1"/>
  <c r="AF163" i="1" s="1"/>
  <c r="AF164" i="1" s="1"/>
  <c r="AF165" i="1" s="1"/>
  <c r="AF166" i="1" s="1"/>
  <c r="AW117" i="1"/>
  <c r="AL118" i="1"/>
  <c r="AW129" i="1"/>
  <c r="Z117" i="1"/>
  <c r="AO117" i="1" s="1"/>
  <c r="N182" i="1"/>
  <c r="AN118" i="1"/>
  <c r="AX118" i="1" s="1"/>
  <c r="D118" i="1"/>
  <c r="E119" i="1"/>
  <c r="AW118" i="1" l="1"/>
  <c r="Z118" i="1"/>
  <c r="AW130" i="1"/>
  <c r="AL193" i="1"/>
  <c r="AL179" i="1"/>
  <c r="AR189" i="1"/>
  <c r="C118" i="1"/>
  <c r="AZ118" i="1" s="1"/>
  <c r="D179" i="1"/>
  <c r="L196" i="1"/>
  <c r="AF197" i="1"/>
  <c r="L182" i="1"/>
  <c r="AP179" i="1"/>
  <c r="E120" i="1"/>
  <c r="AN119" i="1"/>
  <c r="D119" i="1"/>
  <c r="L156" i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83" i="1"/>
  <c r="R197" i="1"/>
  <c r="R183" i="1"/>
  <c r="R156" i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AF183" i="1"/>
  <c r="Z179" i="1"/>
  <c r="B190" i="1"/>
  <c r="B177" i="1"/>
  <c r="R182" i="1"/>
  <c r="O183" i="1"/>
  <c r="M156" i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AY117" i="1"/>
  <c r="AY129" i="1"/>
  <c r="AY116" i="1"/>
  <c r="AY128" i="1"/>
  <c r="AR190" i="1"/>
  <c r="C117" i="1"/>
  <c r="B178" i="1" l="1"/>
  <c r="B191" i="1"/>
  <c r="AR178" i="1"/>
  <c r="AT178" i="1"/>
  <c r="L197" i="1"/>
  <c r="AM179" i="1"/>
  <c r="AM180" i="1"/>
  <c r="AZ117" i="1"/>
  <c r="C193" i="1"/>
  <c r="C179" i="1"/>
  <c r="A179" i="1" s="1"/>
  <c r="C119" i="1"/>
  <c r="M183" i="1"/>
  <c r="AX119" i="1"/>
  <c r="AO118" i="1"/>
  <c r="Z193" i="1"/>
  <c r="M197" i="1"/>
  <c r="D120" i="1"/>
  <c r="C120" i="1" s="1"/>
  <c r="AZ120" i="1" s="1"/>
  <c r="E121" i="1"/>
  <c r="AN120" i="1"/>
  <c r="AX120" i="1" s="1"/>
  <c r="AY118" i="1" l="1"/>
  <c r="AY130" i="1"/>
  <c r="AO193" i="1"/>
  <c r="AO179" i="1"/>
  <c r="AP193" i="1"/>
  <c r="AR192" i="1"/>
  <c r="E122" i="1"/>
  <c r="D121" i="1"/>
  <c r="AN121" i="1"/>
  <c r="B179" i="1"/>
  <c r="B192" i="1"/>
  <c r="AZ119" i="1"/>
  <c r="AR179" i="1"/>
  <c r="AR191" i="1"/>
  <c r="B193" i="1" l="1"/>
  <c r="AR193" i="1" s="1"/>
  <c r="B180" i="1"/>
  <c r="AT180" i="1"/>
  <c r="AX121" i="1"/>
  <c r="C121" i="1"/>
  <c r="AQ179" i="1"/>
  <c r="AT179" i="1"/>
  <c r="AQ180" i="1"/>
  <c r="AN122" i="1"/>
  <c r="AX122" i="1" s="1"/>
  <c r="D122" i="1"/>
  <c r="C122" i="1" s="1"/>
  <c r="AZ122" i="1" s="1"/>
  <c r="E123" i="1"/>
  <c r="B194" i="1" l="1"/>
  <c r="B181" i="1"/>
  <c r="AT181" i="1"/>
  <c r="D123" i="1"/>
  <c r="AN123" i="1"/>
  <c r="AX123" i="1" s="1"/>
  <c r="E124" i="1"/>
  <c r="AZ121" i="1"/>
  <c r="D124" i="1" l="1"/>
  <c r="E125" i="1"/>
  <c r="AN124" i="1"/>
  <c r="C123" i="1"/>
  <c r="B182" i="1"/>
  <c r="B195" i="1"/>
  <c r="AT182" i="1"/>
  <c r="B183" i="1" l="1"/>
  <c r="B197" i="1" s="1"/>
  <c r="B196" i="1"/>
  <c r="AT183" i="1"/>
  <c r="AX124" i="1"/>
  <c r="AZ123" i="1"/>
  <c r="D125" i="1"/>
  <c r="E126" i="1"/>
  <c r="AN125" i="1"/>
  <c r="AX125" i="1" s="1"/>
  <c r="C124" i="1"/>
  <c r="AZ124" i="1" s="1"/>
  <c r="AN126" i="1" l="1"/>
  <c r="AX126" i="1" s="1"/>
  <c r="D126" i="1"/>
  <c r="E127" i="1"/>
  <c r="C125" i="1"/>
  <c r="E128" i="1" l="1"/>
  <c r="AN127" i="1"/>
  <c r="AX127" i="1" s="1"/>
  <c r="D127" i="1"/>
  <c r="C126" i="1"/>
  <c r="AZ125" i="1"/>
  <c r="C127" i="1" l="1"/>
  <c r="AZ127" i="1" s="1"/>
  <c r="AZ126" i="1"/>
  <c r="D128" i="1"/>
  <c r="C128" i="1" s="1"/>
  <c r="AZ128" i="1" s="1"/>
  <c r="E129" i="1"/>
  <c r="AN128" i="1"/>
  <c r="AX128" i="1" s="1"/>
  <c r="AN129" i="1" l="1"/>
  <c r="AX129" i="1" s="1"/>
  <c r="E130" i="1"/>
  <c r="D129" i="1"/>
  <c r="C129" i="1" s="1"/>
  <c r="AZ129" i="1" s="1"/>
  <c r="D130" i="1" l="1"/>
  <c r="AN130" i="1"/>
  <c r="E131" i="1"/>
  <c r="E194" i="1"/>
  <c r="E180" i="1"/>
  <c r="E132" i="1" l="1"/>
  <c r="AN131" i="1"/>
  <c r="D131" i="1"/>
  <c r="AX130" i="1"/>
  <c r="AN180" i="1"/>
  <c r="AN194" i="1"/>
  <c r="C130" i="1"/>
  <c r="D194" i="1"/>
  <c r="D180" i="1"/>
  <c r="C131" i="1" l="1"/>
  <c r="AR180" i="1"/>
  <c r="AP180" i="1"/>
  <c r="D132" i="1"/>
  <c r="C132" i="1" s="1"/>
  <c r="AZ132" i="1" s="1"/>
  <c r="AN132" i="1"/>
  <c r="AX132" i="1" s="1"/>
  <c r="E133" i="1"/>
  <c r="AX131" i="1"/>
  <c r="AZ130" i="1"/>
  <c r="C194" i="1"/>
  <c r="C180" i="1"/>
  <c r="A180" i="1" s="1"/>
  <c r="AR194" i="1" l="1"/>
  <c r="AP194" i="1"/>
  <c r="AZ131" i="1"/>
  <c r="AN133" i="1"/>
  <c r="AX133" i="1" s="1"/>
  <c r="E134" i="1"/>
  <c r="D133" i="1"/>
  <c r="C133" i="1" s="1"/>
  <c r="AZ133" i="1" s="1"/>
  <c r="AN134" i="1" l="1"/>
  <c r="D134" i="1"/>
  <c r="E135" i="1"/>
  <c r="D135" i="1" l="1"/>
  <c r="C135" i="1" s="1"/>
  <c r="AZ135" i="1" s="1"/>
  <c r="E136" i="1"/>
  <c r="AN135" i="1"/>
  <c r="AX135" i="1" s="1"/>
  <c r="C134" i="1"/>
  <c r="AX134" i="1"/>
  <c r="AZ134" i="1" l="1"/>
  <c r="D136" i="1"/>
  <c r="E137" i="1"/>
  <c r="AN136" i="1"/>
  <c r="AX136" i="1" l="1"/>
  <c r="AN137" i="1"/>
  <c r="AX137" i="1" s="1"/>
  <c r="E138" i="1"/>
  <c r="D137" i="1"/>
  <c r="C137" i="1" s="1"/>
  <c r="AZ137" i="1" s="1"/>
  <c r="C136" i="1"/>
  <c r="AZ136" i="1" l="1"/>
  <c r="AN138" i="1"/>
  <c r="AX138" i="1" s="1"/>
  <c r="D138" i="1"/>
  <c r="C138" i="1" s="1"/>
  <c r="AZ138" i="1" s="1"/>
  <c r="E139" i="1"/>
  <c r="D139" i="1" l="1"/>
  <c r="C139" i="1" s="1"/>
  <c r="AZ139" i="1" s="1"/>
  <c r="E140" i="1"/>
  <c r="AN139" i="1"/>
  <c r="AX139" i="1" s="1"/>
  <c r="E141" i="1" l="1"/>
  <c r="AN140" i="1"/>
  <c r="AX140" i="1" s="1"/>
  <c r="D140" i="1"/>
  <c r="C140" i="1" s="1"/>
  <c r="AZ140" i="1" l="1"/>
  <c r="AN141" i="1"/>
  <c r="AX141" i="1" s="1"/>
  <c r="E142" i="1"/>
  <c r="D141" i="1"/>
  <c r="C141" i="1" s="1"/>
  <c r="AZ141" i="1" s="1"/>
  <c r="E143" i="1" l="1"/>
  <c r="AN142" i="1"/>
  <c r="D142" i="1"/>
  <c r="E195" i="1"/>
  <c r="E181" i="1"/>
  <c r="AX142" i="1" l="1"/>
  <c r="AN181" i="1"/>
  <c r="AN195" i="1"/>
  <c r="C142" i="1"/>
  <c r="D181" i="1"/>
  <c r="D195" i="1"/>
  <c r="D143" i="1"/>
  <c r="AN143" i="1"/>
  <c r="E144" i="1"/>
  <c r="AZ142" i="1" l="1"/>
  <c r="C195" i="1"/>
  <c r="C181" i="1"/>
  <c r="A181" i="1" s="1"/>
  <c r="E145" i="1"/>
  <c r="AN144" i="1"/>
  <c r="AX144" i="1" s="1"/>
  <c r="D144" i="1"/>
  <c r="C144" i="1" s="1"/>
  <c r="AZ144" i="1" s="1"/>
  <c r="AX143" i="1"/>
  <c r="AP181" i="1"/>
  <c r="AR181" i="1"/>
  <c r="C143" i="1"/>
  <c r="D145" i="1" l="1"/>
  <c r="C145" i="1" s="1"/>
  <c r="AZ145" i="1" s="1"/>
  <c r="AN145" i="1"/>
  <c r="E146" i="1"/>
  <c r="AZ143" i="1"/>
  <c r="AP195" i="1"/>
  <c r="AR195" i="1"/>
  <c r="E147" i="1" l="1"/>
  <c r="AN146" i="1"/>
  <c r="AX146" i="1" s="1"/>
  <c r="D146" i="1"/>
  <c r="AX145" i="1"/>
  <c r="C146" i="1" l="1"/>
  <c r="AN147" i="1"/>
  <c r="D147" i="1"/>
  <c r="E148" i="1"/>
  <c r="C147" i="1" l="1"/>
  <c r="AZ147" i="1" s="1"/>
  <c r="D148" i="1"/>
  <c r="C148" i="1" s="1"/>
  <c r="AZ148" i="1" s="1"/>
  <c r="E149" i="1"/>
  <c r="AN148" i="1"/>
  <c r="AX148" i="1" s="1"/>
  <c r="AX147" i="1"/>
  <c r="AZ146" i="1"/>
  <c r="D149" i="1" l="1"/>
  <c r="C149" i="1" s="1"/>
  <c r="AZ149" i="1" s="1"/>
  <c r="E150" i="1"/>
  <c r="AN149" i="1"/>
  <c r="AX149" i="1" l="1"/>
  <c r="E151" i="1"/>
  <c r="AN150" i="1"/>
  <c r="AX150" i="1" s="1"/>
  <c r="D150" i="1"/>
  <c r="C150" i="1" s="1"/>
  <c r="AZ150" i="1" l="1"/>
  <c r="E152" i="1"/>
  <c r="AN151" i="1"/>
  <c r="AX151" i="1" s="1"/>
  <c r="D151" i="1"/>
  <c r="C151" i="1" s="1"/>
  <c r="AZ151" i="1" s="1"/>
  <c r="E153" i="1" l="1"/>
  <c r="AN152" i="1"/>
  <c r="AX152" i="1" s="1"/>
  <c r="D152" i="1"/>
  <c r="C152" i="1" s="1"/>
  <c r="AZ152" i="1" s="1"/>
  <c r="AN153" i="1" l="1"/>
  <c r="AX153" i="1" s="1"/>
  <c r="E154" i="1"/>
  <c r="D153" i="1"/>
  <c r="C153" i="1" s="1"/>
  <c r="AZ153" i="1" s="1"/>
  <c r="E155" i="1" l="1"/>
  <c r="AN154" i="1"/>
  <c r="D154" i="1"/>
  <c r="E182" i="1"/>
  <c r="E196" i="1"/>
  <c r="C154" i="1" l="1"/>
  <c r="D196" i="1"/>
  <c r="D182" i="1"/>
  <c r="AX154" i="1"/>
  <c r="AN182" i="1"/>
  <c r="AN196" i="1"/>
  <c r="D155" i="1"/>
  <c r="AN155" i="1"/>
  <c r="E156" i="1"/>
  <c r="C155" i="1" l="1"/>
  <c r="AR182" i="1"/>
  <c r="AP182" i="1"/>
  <c r="AN156" i="1"/>
  <c r="AX156" i="1" s="1"/>
  <c r="E157" i="1"/>
  <c r="D156" i="1"/>
  <c r="C156" i="1" s="1"/>
  <c r="AZ156" i="1" s="1"/>
  <c r="AX155" i="1"/>
  <c r="AZ154" i="1"/>
  <c r="C196" i="1"/>
  <c r="C182" i="1"/>
  <c r="A182" i="1" s="1"/>
  <c r="AN157" i="1" l="1"/>
  <c r="AX157" i="1" s="1"/>
  <c r="D157" i="1"/>
  <c r="C157" i="1" s="1"/>
  <c r="AZ157" i="1" s="1"/>
  <c r="E158" i="1"/>
  <c r="AR196" i="1"/>
  <c r="AP196" i="1"/>
  <c r="AZ155" i="1"/>
  <c r="E159" i="1" l="1"/>
  <c r="D158" i="1"/>
  <c r="AN158" i="1"/>
  <c r="AX158" i="1" l="1"/>
  <c r="C158" i="1"/>
  <c r="D159" i="1"/>
  <c r="C159" i="1" s="1"/>
  <c r="AZ159" i="1" s="1"/>
  <c r="AN159" i="1"/>
  <c r="AX159" i="1" s="1"/>
  <c r="E160" i="1"/>
  <c r="AZ158" i="1" l="1"/>
  <c r="AN160" i="1"/>
  <c r="AX160" i="1" s="1"/>
  <c r="D160" i="1"/>
  <c r="C160" i="1" s="1"/>
  <c r="AZ160" i="1" s="1"/>
  <c r="E161" i="1"/>
  <c r="AN161" i="1" l="1"/>
  <c r="AX161" i="1" s="1"/>
  <c r="D161" i="1"/>
  <c r="E162" i="1"/>
  <c r="E163" i="1" l="1"/>
  <c r="D162" i="1"/>
  <c r="C162" i="1" s="1"/>
  <c r="AZ162" i="1" s="1"/>
  <c r="AN162" i="1"/>
  <c r="AX162" i="1" s="1"/>
  <c r="C161" i="1"/>
  <c r="AZ161" i="1" l="1"/>
  <c r="D163" i="1"/>
  <c r="C163" i="1" s="1"/>
  <c r="AZ163" i="1" s="1"/>
  <c r="AN163" i="1"/>
  <c r="AX163" i="1" s="1"/>
  <c r="E164" i="1"/>
  <c r="AN164" i="1" l="1"/>
  <c r="AX164" i="1" s="1"/>
  <c r="D164" i="1"/>
  <c r="C164" i="1" s="1"/>
  <c r="AZ164" i="1" s="1"/>
  <c r="E165" i="1"/>
  <c r="AN165" i="1" l="1"/>
  <c r="AX165" i="1" s="1"/>
  <c r="D165" i="1"/>
  <c r="C165" i="1" s="1"/>
  <c r="E166" i="1"/>
  <c r="D166" i="1" l="1"/>
  <c r="AN166" i="1"/>
  <c r="E183" i="1"/>
  <c r="E197" i="1"/>
  <c r="AZ165" i="1"/>
  <c r="AX166" i="1" l="1"/>
  <c r="AN197" i="1"/>
  <c r="AN183" i="1"/>
  <c r="C166" i="1"/>
  <c r="D197" i="1"/>
  <c r="D183" i="1"/>
  <c r="AZ166" i="1" l="1"/>
  <c r="C197" i="1"/>
  <c r="C183" i="1"/>
  <c r="A183" i="1" s="1"/>
  <c r="AR183" i="1"/>
  <c r="AP183" i="1"/>
  <c r="AR197" i="1" l="1"/>
  <c r="AP19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</author>
  </authors>
  <commentList>
    <comment ref="U21" authorId="0" shapeId="0" xr:uid="{5DC81748-4E68-487C-8FD6-B5569F9890AA}">
      <text>
        <r>
          <rPr>
            <sz val="9"/>
            <color indexed="81"/>
            <rFont val="돋움"/>
            <family val="3"/>
            <charset val="129"/>
          </rPr>
          <t>적수사태</t>
        </r>
      </text>
    </comment>
    <comment ref="U22" authorId="0" shapeId="0" xr:uid="{6173E4F4-6B2A-46C7-B6DF-E07A57EE4CAD}">
      <text>
        <r>
          <rPr>
            <sz val="9"/>
            <color indexed="81"/>
            <rFont val="돋움"/>
            <family val="3"/>
            <charset val="129"/>
          </rPr>
          <t>적수사태</t>
        </r>
      </text>
    </comment>
    <comment ref="U23" authorId="0" shapeId="0" xr:uid="{BDE19AEF-48D0-458B-BBCA-2D024DC94CA0}">
      <text>
        <r>
          <rPr>
            <sz val="9"/>
            <color indexed="81"/>
            <rFont val="돋움"/>
            <family val="3"/>
            <charset val="129"/>
          </rPr>
          <t>적수사태</t>
        </r>
      </text>
    </comment>
    <comment ref="Z57" authorId="0" shapeId="0" xr:uid="{B7077D68-D1CC-470B-9301-9AE3D14D3DDC}">
      <text>
        <r>
          <rPr>
            <sz val="9"/>
            <color indexed="81"/>
            <rFont val="돋움"/>
            <family val="3"/>
            <charset val="129"/>
          </rPr>
          <t>사용기간</t>
        </r>
        <r>
          <rPr>
            <sz val="9"/>
            <color indexed="81"/>
            <rFont val="Tahoma"/>
            <family val="2"/>
          </rPr>
          <t xml:space="preserve">: 2021-12-20 ~ 2022-01-06
</t>
        </r>
        <r>
          <rPr>
            <sz val="9"/>
            <color indexed="81"/>
            <rFont val="돋움"/>
            <family val="3"/>
            <charset val="129"/>
          </rPr>
          <t>납부마감일</t>
        </r>
        <r>
          <rPr>
            <sz val="9"/>
            <color indexed="81"/>
            <rFont val="Tahoma"/>
            <family val="2"/>
          </rPr>
          <t>: 2022-02-03</t>
        </r>
      </text>
    </comment>
  </commentList>
</comments>
</file>

<file path=xl/sharedStrings.xml><?xml version="1.0" encoding="utf-8"?>
<sst xmlns="http://schemas.openxmlformats.org/spreadsheetml/2006/main" count="352" uniqueCount="129">
  <si>
    <t>단가</t>
    <phoneticPr fontId="4" type="noConversion"/>
  </si>
  <si>
    <t>Kwh</t>
    <phoneticPr fontId="5" type="noConversion"/>
  </si>
  <si>
    <t>㎥</t>
    <phoneticPr fontId="5" type="noConversion"/>
  </si>
  <si>
    <t>kg</t>
    <phoneticPr fontId="4" type="noConversion"/>
  </si>
  <si>
    <t>도시가스</t>
    <phoneticPr fontId="4" type="noConversion"/>
  </si>
  <si>
    <t>공용관리비</t>
    <phoneticPr fontId="4" type="noConversion"/>
  </si>
  <si>
    <t>개별관리비</t>
    <phoneticPr fontId="4" type="noConversion"/>
  </si>
  <si>
    <t>합계</t>
    <phoneticPr fontId="5" type="noConversion"/>
  </si>
  <si>
    <t>관리비 합계</t>
    <phoneticPr fontId="5" type="noConversion"/>
  </si>
  <si>
    <t>일반관리비</t>
    <phoneticPr fontId="5" type="noConversion"/>
  </si>
  <si>
    <t>경비비</t>
    <phoneticPr fontId="5" type="noConversion"/>
  </si>
  <si>
    <t>청소비</t>
    <phoneticPr fontId="5" type="noConversion"/>
  </si>
  <si>
    <t>소독비</t>
    <phoneticPr fontId="5" type="noConversion"/>
  </si>
  <si>
    <t>승강기유지비</t>
    <phoneticPr fontId="5" type="noConversion"/>
  </si>
  <si>
    <t>수선유지비</t>
    <phoneticPr fontId="5" type="noConversion"/>
  </si>
  <si>
    <t>위탁관리비</t>
    <phoneticPr fontId="5" type="noConversion"/>
  </si>
  <si>
    <t>화재보험료</t>
    <phoneticPr fontId="5" type="noConversion"/>
  </si>
  <si>
    <t>선관위운영비</t>
    <phoneticPr fontId="5" type="noConversion"/>
  </si>
  <si>
    <t>하수처리시설료</t>
    <phoneticPr fontId="4" type="noConversion"/>
  </si>
  <si>
    <t>대표회의운영비</t>
    <phoneticPr fontId="5" type="noConversion"/>
  </si>
  <si>
    <t>전기료</t>
    <phoneticPr fontId="5" type="noConversion"/>
  </si>
  <si>
    <t>공동전기료</t>
    <phoneticPr fontId="5" type="noConversion"/>
  </si>
  <si>
    <t>승강기전기</t>
    <phoneticPr fontId="5" type="noConversion"/>
  </si>
  <si>
    <t>TV수신료</t>
    <phoneticPr fontId="5" type="noConversion"/>
  </si>
  <si>
    <t>일자리지원차감</t>
    <phoneticPr fontId="5" type="noConversion"/>
  </si>
  <si>
    <t>수도요금</t>
    <phoneticPr fontId="5" type="noConversion"/>
  </si>
  <si>
    <t>공동수도료</t>
    <phoneticPr fontId="5" type="noConversion"/>
  </si>
  <si>
    <t>커뮤니티운영비</t>
    <phoneticPr fontId="4" type="noConversion"/>
  </si>
  <si>
    <t>음식물</t>
    <phoneticPr fontId="4" type="noConversion"/>
  </si>
  <si>
    <t>도시가스요금</t>
    <phoneticPr fontId="5" type="noConversion"/>
  </si>
  <si>
    <t>전기사용량</t>
    <phoneticPr fontId="5" type="noConversion"/>
  </si>
  <si>
    <t>수도사용량</t>
    <phoneticPr fontId="5" type="noConversion"/>
  </si>
  <si>
    <t>음식물쓰레기</t>
    <phoneticPr fontId="4" type="noConversion"/>
  </si>
  <si>
    <t>도시가스사용량</t>
    <phoneticPr fontId="5" type="noConversion"/>
  </si>
  <si>
    <t>검침</t>
    <phoneticPr fontId="4" type="noConversion"/>
  </si>
  <si>
    <t>사용량</t>
    <phoneticPr fontId="4" type="noConversion"/>
  </si>
  <si>
    <t>전기</t>
    <phoneticPr fontId="5" type="noConversion"/>
  </si>
  <si>
    <t>수도</t>
    <phoneticPr fontId="5" type="noConversion"/>
  </si>
  <si>
    <t>도시가스</t>
    <phoneticPr fontId="5" type="noConversion"/>
  </si>
  <si>
    <t>고정관리비</t>
    <phoneticPr fontId="4" type="noConversion"/>
  </si>
  <si>
    <t>유동관리비</t>
    <phoneticPr fontId="4" type="noConversion"/>
  </si>
  <si>
    <t>헬스</t>
    <phoneticPr fontId="4" type="noConversion"/>
  </si>
  <si>
    <t>난방비</t>
    <phoneticPr fontId="5" type="noConversion"/>
  </si>
  <si>
    <t>기본난방비</t>
    <phoneticPr fontId="5" type="noConversion"/>
  </si>
  <si>
    <t>공동난방비</t>
    <phoneticPr fontId="5" type="noConversion"/>
  </si>
  <si>
    <t>온수료</t>
    <phoneticPr fontId="5" type="noConversion"/>
  </si>
  <si>
    <t>공용관리비차감</t>
    <phoneticPr fontId="5" type="noConversion"/>
  </si>
  <si>
    <t>오물수거비</t>
    <phoneticPr fontId="5" type="noConversion"/>
  </si>
  <si>
    <t>중간관리비정산</t>
    <phoneticPr fontId="5" type="noConversion"/>
  </si>
  <si>
    <t>놀이터보험료</t>
    <phoneticPr fontId="5" type="noConversion"/>
  </si>
  <si>
    <t>난방사용량</t>
    <phoneticPr fontId="5" type="noConversion"/>
  </si>
  <si>
    <t>온수사용량</t>
    <phoneticPr fontId="5" type="noConversion"/>
  </si>
  <si>
    <t>난방</t>
    <phoneticPr fontId="5" type="noConversion"/>
  </si>
  <si>
    <t>온수</t>
    <phoneticPr fontId="5" type="noConversion"/>
  </si>
  <si>
    <t>1월사용분</t>
  </si>
  <si>
    <t>2월사용분</t>
  </si>
  <si>
    <t>3월사용분</t>
  </si>
  <si>
    <t>4월사용분</t>
  </si>
  <si>
    <t>5월사용분</t>
  </si>
  <si>
    <t>6월사용분</t>
  </si>
  <si>
    <t>7월사용분</t>
  </si>
  <si>
    <t>8월사용분</t>
  </si>
  <si>
    <t>9월사용분</t>
  </si>
  <si>
    <t>10월사용분</t>
    <phoneticPr fontId="5" type="noConversion"/>
  </si>
  <si>
    <t>11월사용분</t>
    <phoneticPr fontId="5" type="noConversion"/>
  </si>
  <si>
    <t>12월사용분</t>
    <phoneticPr fontId="5" type="noConversion"/>
  </si>
  <si>
    <t>1월사용분</t>
    <phoneticPr fontId="5" type="noConversion"/>
  </si>
  <si>
    <t>2월사용분</t>
    <phoneticPr fontId="5" type="noConversion"/>
  </si>
  <si>
    <t>3월사용분</t>
    <phoneticPr fontId="5" type="noConversion"/>
  </si>
  <si>
    <t>4월사용분</t>
    <phoneticPr fontId="5" type="noConversion"/>
  </si>
  <si>
    <t>5월사용분</t>
    <phoneticPr fontId="5" type="noConversion"/>
  </si>
  <si>
    <t>6월사용분</t>
    <phoneticPr fontId="5" type="noConversion"/>
  </si>
  <si>
    <t>7월사용분</t>
    <phoneticPr fontId="5" type="noConversion"/>
  </si>
  <si>
    <t>8월사용분</t>
    <phoneticPr fontId="5" type="noConversion"/>
  </si>
  <si>
    <t>9월사용분</t>
    <phoneticPr fontId="5" type="noConversion"/>
  </si>
  <si>
    <t>/Kwh</t>
    <phoneticPr fontId="5" type="noConversion"/>
  </si>
  <si>
    <t>/㎥</t>
    <phoneticPr fontId="5" type="noConversion"/>
  </si>
  <si>
    <t>/kg</t>
    <phoneticPr fontId="4" type="noConversion"/>
  </si>
  <si>
    <t>단가 상승률(YoY)</t>
    <phoneticPr fontId="4" type="noConversion"/>
  </si>
  <si>
    <t>골프</t>
    <phoneticPr fontId="4" type="noConversion"/>
  </si>
  <si>
    <t>전기</t>
    <phoneticPr fontId="4" type="noConversion"/>
  </si>
  <si>
    <t>수도</t>
    <phoneticPr fontId="4" type="noConversion"/>
  </si>
  <si>
    <t>공동관리비</t>
    <phoneticPr fontId="4" type="noConversion"/>
  </si>
  <si>
    <t>관리비총액</t>
    <phoneticPr fontId="4" type="noConversion"/>
  </si>
  <si>
    <t>01~17일</t>
    <phoneticPr fontId="5" type="noConversion"/>
  </si>
  <si>
    <t>18~31일</t>
    <phoneticPr fontId="5" type="noConversion"/>
  </si>
  <si>
    <t/>
  </si>
  <si>
    <t>공동관리비차감</t>
    <phoneticPr fontId="4" type="noConversion"/>
  </si>
  <si>
    <t>10단지 평균</t>
    <phoneticPr fontId="4" type="noConversion"/>
  </si>
  <si>
    <t>아트자이 평균</t>
    <phoneticPr fontId="4" type="noConversion"/>
  </si>
  <si>
    <t>연 상승률</t>
    <phoneticPr fontId="4" type="noConversion"/>
  </si>
  <si>
    <t>연환산 복리 상승률</t>
    <phoneticPr fontId="4" type="noConversion"/>
  </si>
  <si>
    <t>복리수익률(연)=(종가/기초가)^(1/년수)-1</t>
    <phoneticPr fontId="4" type="noConversion"/>
  </si>
  <si>
    <t>도시가스 금액</t>
    <phoneticPr fontId="4" type="noConversion"/>
  </si>
  <si>
    <t>25년 겨울</t>
    <phoneticPr fontId="4" type="noConversion"/>
  </si>
  <si>
    <t>26년 겨울</t>
    <phoneticPr fontId="4" type="noConversion"/>
  </si>
  <si>
    <t>절약</t>
    <phoneticPr fontId="4" type="noConversion"/>
  </si>
  <si>
    <t>FV=PV*(1+r)^t</t>
    <phoneticPr fontId="4" type="noConversion"/>
  </si>
  <si>
    <t>PV=FV/(1+r)^t</t>
    <phoneticPr fontId="4" type="noConversion"/>
  </si>
  <si>
    <t>r=(FV/PV)^(1/t)-1</t>
    <phoneticPr fontId="4" type="noConversion"/>
  </si>
  <si>
    <t>장기수선충당금 적용계획</t>
    <phoneticPr fontId="4" type="noConversion"/>
  </si>
  <si>
    <t>FV</t>
    <phoneticPr fontId="4" type="noConversion"/>
  </si>
  <si>
    <t>상승률</t>
    <phoneticPr fontId="4" type="noConversion"/>
  </si>
  <si>
    <t>1년 합산</t>
    <phoneticPr fontId="4" type="noConversion"/>
  </si>
  <si>
    <t>차액</t>
    <phoneticPr fontId="4" type="noConversion"/>
  </si>
  <si>
    <t>연환산 상승률</t>
    <phoneticPr fontId="4" type="noConversion"/>
  </si>
  <si>
    <t>전기요금 누진구간</t>
  </si>
  <si>
    <t>주택용전력(고압, 하계 7~8)</t>
    <phoneticPr fontId="4" type="noConversion"/>
  </si>
  <si>
    <t>주택용전력(고압, 기타계절)</t>
    <phoneticPr fontId="4" type="noConversion"/>
  </si>
  <si>
    <t>기타계절</t>
    <phoneticPr fontId="4" type="noConversion"/>
  </si>
  <si>
    <t>하계 7~8</t>
    <phoneticPr fontId="4" type="noConversion"/>
  </si>
  <si>
    <t>기본요금</t>
    <phoneticPr fontId="4" type="noConversion"/>
  </si>
  <si>
    <t>kWh</t>
    <phoneticPr fontId="4" type="noConversion"/>
  </si>
  <si>
    <t>원/kWh</t>
    <phoneticPr fontId="4" type="noConversion"/>
  </si>
  <si>
    <t>전력량요금</t>
    <phoneticPr fontId="4" type="noConversion"/>
  </si>
  <si>
    <t>기후환경요금</t>
    <phoneticPr fontId="4" type="noConversion"/>
  </si>
  <si>
    <t>연료비조정요금</t>
    <phoneticPr fontId="4" type="noConversion"/>
  </si>
  <si>
    <t>전기요금계</t>
    <phoneticPr fontId="4" type="noConversion"/>
  </si>
  <si>
    <t>부가세</t>
    <phoneticPr fontId="4" type="noConversion"/>
  </si>
  <si>
    <t>전력기금</t>
    <phoneticPr fontId="4" type="noConversion"/>
  </si>
  <si>
    <t>청구금액</t>
    <phoneticPr fontId="4" type="noConversion"/>
  </si>
  <si>
    <t>B아파트</t>
    <phoneticPr fontId="5" type="noConversion"/>
  </si>
  <si>
    <t>a</t>
    <phoneticPr fontId="4" type="noConversion"/>
  </si>
  <si>
    <t>b</t>
    <phoneticPr fontId="5" type="noConversion"/>
  </si>
  <si>
    <t>개시일</t>
    <phoneticPr fontId="4" type="noConversion"/>
  </si>
  <si>
    <t>종료일</t>
    <phoneticPr fontId="4" type="noConversion"/>
  </si>
  <si>
    <t>A아파트</t>
    <phoneticPr fontId="5" type="noConversion"/>
  </si>
  <si>
    <t>장기수선충당금</t>
    <phoneticPr fontId="4" type="noConversion"/>
  </si>
  <si>
    <t>A아파트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</si>
</sst>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76" formatCode="yyyy/mm"/>
    <numFmt numFmtId="177" formatCode="#,##0_ ;[Red]\-#,##0\ "/>
    <numFmt numFmtId="178" formatCode="#,##0.00_ ;[Red]\-#,##0.00\ "/>
    <numFmt numFmtId="179" formatCode="#,##0_);[Red]\(#,##0\)"/>
    <numFmt numFmtId="180" formatCode="#,##0.00_);[Red]\(#,##0.00\)"/>
    <numFmt numFmtId="181" formatCode="0.0%"/>
    <numFmt numFmtId="182" formatCode="\ #,##0.0%\ ;[Red]\ \(#,##0.0%\)"/>
    <numFmt numFmtId="183" formatCode="yyyy"/>
    <numFmt numFmtId="184" formatCode="#,##0%;[Red]\(#,##0%\)"/>
    <numFmt numFmtId="185" formatCode="#,##0.0%;[Red]\(#,##0.0%\)"/>
    <numFmt numFmtId="186" formatCode="_-* #,##0.0_-;\-* #,##0.0_-;_-* &quot;-&quot;_-;_-@_-"/>
    <numFmt numFmtId="187" formatCode="_-* #,##0.00_-;\-* #,##0.00_-;_-* &quot;-&quot;_-;_-@_-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0" tint="-0.499984740745262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theme="5" tint="0.39997558519241921"/>
      <name val="맑은 고딕"/>
      <family val="3"/>
      <charset val="129"/>
      <scheme val="minor"/>
    </font>
    <font>
      <b/>
      <sz val="9"/>
      <color theme="5" tint="0.3999755851924192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sz val="9"/>
      <color theme="1" tint="0.499984740745262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rgb="FF0070C0"/>
      <name val="맑은 고딕"/>
      <family val="3"/>
      <charset val="129"/>
      <scheme val="minor"/>
    </font>
    <font>
      <b/>
      <sz val="8"/>
      <color rgb="FF0070C0"/>
      <name val="맑은 고딕"/>
      <family val="3"/>
      <charset val="129"/>
      <scheme val="minor"/>
    </font>
    <font>
      <b/>
      <sz val="9"/>
      <color theme="1" tint="0.499984740745262"/>
      <name val="맑은 고딕"/>
      <family val="3"/>
      <charset val="129"/>
      <scheme val="minor"/>
    </font>
    <font>
      <sz val="8"/>
      <color theme="1" tint="0.499984740745262"/>
      <name val="맑은 고딕"/>
      <family val="2"/>
      <charset val="129"/>
      <scheme val="minor"/>
    </font>
    <font>
      <sz val="8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83">
    <xf numFmtId="0" fontId="0" fillId="0" borderId="0" xfId="0">
      <alignment vertical="center"/>
    </xf>
    <xf numFmtId="0" fontId="3" fillId="2" borderId="0" xfId="3" applyFont="1" applyFill="1">
      <alignment vertical="center"/>
    </xf>
    <xf numFmtId="0" fontId="6" fillId="2" borderId="0" xfId="3" applyFont="1" applyFill="1">
      <alignment vertical="center"/>
    </xf>
    <xf numFmtId="0" fontId="7" fillId="0" borderId="0" xfId="3" applyFont="1">
      <alignment vertical="center"/>
    </xf>
    <xf numFmtId="0" fontId="8" fillId="0" borderId="0" xfId="3" applyFont="1">
      <alignment vertical="center"/>
    </xf>
    <xf numFmtId="0" fontId="3" fillId="3" borderId="0" xfId="3" applyFont="1" applyFill="1" applyAlignment="1">
      <alignment horizontal="center" vertical="center"/>
    </xf>
    <xf numFmtId="41" fontId="0" fillId="0" borderId="0" xfId="1" applyFont="1">
      <alignment vertical="center"/>
    </xf>
    <xf numFmtId="0" fontId="3" fillId="0" borderId="0" xfId="3" applyFont="1" applyAlignment="1">
      <alignment horizontal="center" vertical="center"/>
    </xf>
    <xf numFmtId="14" fontId="3" fillId="0" borderId="0" xfId="3" applyNumberFormat="1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3" fillId="6" borderId="1" xfId="3" applyFont="1" applyFill="1" applyBorder="1" applyAlignment="1">
      <alignment horizontal="center" vertical="center"/>
    </xf>
    <xf numFmtId="0" fontId="3" fillId="7" borderId="1" xfId="3" applyFont="1" applyFill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176" fontId="7" fillId="0" borderId="0" xfId="3" applyNumberFormat="1" applyFont="1" applyAlignment="1">
      <alignment horizontal="center" vertical="center"/>
    </xf>
    <xf numFmtId="177" fontId="3" fillId="8" borderId="0" xfId="4" applyNumberFormat="1" applyFont="1" applyFill="1" applyBorder="1">
      <alignment vertical="center"/>
    </xf>
    <xf numFmtId="177" fontId="3" fillId="9" borderId="0" xfId="4" applyNumberFormat="1" applyFont="1" applyFill="1" applyBorder="1">
      <alignment vertical="center"/>
    </xf>
    <xf numFmtId="177" fontId="7" fillId="0" borderId="0" xfId="4" applyNumberFormat="1" applyFont="1" applyBorder="1">
      <alignment vertical="center"/>
    </xf>
    <xf numFmtId="177" fontId="3" fillId="7" borderId="0" xfId="4" applyNumberFormat="1" applyFont="1" applyFill="1" applyBorder="1">
      <alignment vertical="center"/>
    </xf>
    <xf numFmtId="177" fontId="7" fillId="10" borderId="0" xfId="4" applyNumberFormat="1" applyFont="1" applyFill="1" applyBorder="1">
      <alignment vertical="center"/>
    </xf>
    <xf numFmtId="177" fontId="7" fillId="0" borderId="0" xfId="3" applyNumberFormat="1" applyFont="1">
      <alignment vertical="center"/>
    </xf>
    <xf numFmtId="177" fontId="7" fillId="0" borderId="0" xfId="3" applyNumberFormat="1" applyFont="1" applyAlignment="1">
      <alignment horizontal="center" vertical="center"/>
    </xf>
    <xf numFmtId="41" fontId="7" fillId="0" borderId="0" xfId="1" applyFont="1" applyBorder="1" applyAlignment="1">
      <alignment horizontal="center" vertical="center"/>
    </xf>
    <xf numFmtId="178" fontId="7" fillId="0" borderId="0" xfId="3" applyNumberFormat="1" applyFont="1">
      <alignment vertical="center"/>
    </xf>
    <xf numFmtId="41" fontId="7" fillId="0" borderId="0" xfId="3" applyNumberFormat="1" applyFont="1">
      <alignment vertical="center"/>
    </xf>
    <xf numFmtId="41" fontId="0" fillId="0" borderId="0" xfId="1" applyFont="1" applyBorder="1">
      <alignment vertical="center"/>
    </xf>
    <xf numFmtId="177" fontId="9" fillId="10" borderId="0" xfId="4" applyNumberFormat="1" applyFont="1" applyFill="1" applyBorder="1">
      <alignment vertical="center"/>
    </xf>
    <xf numFmtId="176" fontId="7" fillId="0" borderId="4" xfId="3" applyNumberFormat="1" applyFont="1" applyBorder="1" applyAlignment="1">
      <alignment horizontal="center" vertical="center"/>
    </xf>
    <xf numFmtId="177" fontId="3" fillId="8" borderId="4" xfId="4" applyNumberFormat="1" applyFont="1" applyFill="1" applyBorder="1">
      <alignment vertical="center"/>
    </xf>
    <xf numFmtId="177" fontId="3" fillId="9" borderId="4" xfId="4" applyNumberFormat="1" applyFont="1" applyFill="1" applyBorder="1">
      <alignment vertical="center"/>
    </xf>
    <xf numFmtId="177" fontId="7" fillId="0" borderId="4" xfId="4" applyNumberFormat="1" applyFont="1" applyBorder="1">
      <alignment vertical="center"/>
    </xf>
    <xf numFmtId="177" fontId="3" fillId="7" borderId="4" xfId="4" applyNumberFormat="1" applyFont="1" applyFill="1" applyBorder="1">
      <alignment vertical="center"/>
    </xf>
    <xf numFmtId="177" fontId="9" fillId="10" borderId="4" xfId="4" applyNumberFormat="1" applyFont="1" applyFill="1" applyBorder="1">
      <alignment vertical="center"/>
    </xf>
    <xf numFmtId="0" fontId="0" fillId="0" borderId="4" xfId="0" applyBorder="1">
      <alignment vertical="center"/>
    </xf>
    <xf numFmtId="177" fontId="7" fillId="0" borderId="4" xfId="3" applyNumberFormat="1" applyFont="1" applyBorder="1">
      <alignment vertical="center"/>
    </xf>
    <xf numFmtId="178" fontId="7" fillId="0" borderId="4" xfId="3" applyNumberFormat="1" applyFont="1" applyBorder="1">
      <alignment vertical="center"/>
    </xf>
    <xf numFmtId="41" fontId="7" fillId="0" borderId="4" xfId="3" applyNumberFormat="1" applyFont="1" applyBorder="1">
      <alignment vertical="center"/>
    </xf>
    <xf numFmtId="41" fontId="0" fillId="0" borderId="4" xfId="1" applyFont="1" applyBorder="1">
      <alignment vertical="center"/>
    </xf>
    <xf numFmtId="0" fontId="7" fillId="0" borderId="4" xfId="3" applyFont="1" applyBorder="1">
      <alignment vertical="center"/>
    </xf>
    <xf numFmtId="177" fontId="9" fillId="0" borderId="0" xfId="4" applyNumberFormat="1" applyFont="1" applyBorder="1">
      <alignment vertical="center"/>
    </xf>
    <xf numFmtId="177" fontId="10" fillId="7" borderId="0" xfId="4" applyNumberFormat="1" applyFont="1" applyFill="1" applyBorder="1">
      <alignment vertical="center"/>
    </xf>
    <xf numFmtId="177" fontId="9" fillId="0" borderId="0" xfId="3" applyNumberFormat="1" applyFont="1">
      <alignment vertical="center"/>
    </xf>
    <xf numFmtId="176" fontId="9" fillId="0" borderId="0" xfId="3" applyNumberFormat="1" applyFont="1" applyAlignment="1">
      <alignment horizontal="center" vertical="center"/>
    </xf>
    <xf numFmtId="177" fontId="10" fillId="8" borderId="0" xfId="4" applyNumberFormat="1" applyFont="1" applyFill="1" applyBorder="1">
      <alignment vertical="center"/>
    </xf>
    <xf numFmtId="178" fontId="9" fillId="0" borderId="0" xfId="3" applyNumberFormat="1" applyFont="1">
      <alignment vertical="center"/>
    </xf>
    <xf numFmtId="176" fontId="9" fillId="0" borderId="4" xfId="3" applyNumberFormat="1" applyFont="1" applyBorder="1" applyAlignment="1">
      <alignment horizontal="center" vertical="center"/>
    </xf>
    <xf numFmtId="177" fontId="10" fillId="8" borderId="4" xfId="4" applyNumberFormat="1" applyFont="1" applyFill="1" applyBorder="1">
      <alignment vertical="center"/>
    </xf>
    <xf numFmtId="177" fontId="9" fillId="0" borderId="4" xfId="4" applyNumberFormat="1" applyFont="1" applyBorder="1">
      <alignment vertical="center"/>
    </xf>
    <xf numFmtId="177" fontId="10" fillId="7" borderId="4" xfId="4" applyNumberFormat="1" applyFont="1" applyFill="1" applyBorder="1">
      <alignment vertical="center"/>
    </xf>
    <xf numFmtId="177" fontId="9" fillId="0" borderId="4" xfId="3" applyNumberFormat="1" applyFont="1" applyBorder="1">
      <alignment vertical="center"/>
    </xf>
    <xf numFmtId="178" fontId="9" fillId="0" borderId="4" xfId="3" applyNumberFormat="1" applyFont="1" applyBorder="1">
      <alignment vertical="center"/>
    </xf>
    <xf numFmtId="177" fontId="11" fillId="0" borderId="0" xfId="3" applyNumberFormat="1" applyFont="1">
      <alignment vertical="center"/>
    </xf>
    <xf numFmtId="0" fontId="9" fillId="0" borderId="0" xfId="3" applyFont="1">
      <alignment vertical="center"/>
    </xf>
    <xf numFmtId="41" fontId="9" fillId="0" borderId="0" xfId="1" applyFont="1" applyBorder="1">
      <alignment vertical="center"/>
    </xf>
    <xf numFmtId="177" fontId="11" fillId="0" borderId="0" xfId="4" applyNumberFormat="1" applyFont="1" applyBorder="1">
      <alignment vertical="center"/>
    </xf>
    <xf numFmtId="41" fontId="7" fillId="0" borderId="4" xfId="1" applyFont="1" applyBorder="1">
      <alignment vertical="center"/>
    </xf>
    <xf numFmtId="41" fontId="7" fillId="0" borderId="0" xfId="1" applyFont="1" applyBorder="1">
      <alignment vertical="center"/>
    </xf>
    <xf numFmtId="41" fontId="7" fillId="0" borderId="0" xfId="1" applyFont="1">
      <alignment vertical="center"/>
    </xf>
    <xf numFmtId="41" fontId="3" fillId="0" borderId="0" xfId="3" applyNumberFormat="1" applyFont="1">
      <alignment vertical="center"/>
    </xf>
    <xf numFmtId="41" fontId="3" fillId="0" borderId="0" xfId="1" applyFont="1">
      <alignment vertical="center"/>
    </xf>
    <xf numFmtId="177" fontId="9" fillId="0" borderId="0" xfId="4" applyNumberFormat="1" applyFont="1" applyFill="1" applyBorder="1">
      <alignment vertical="center"/>
    </xf>
    <xf numFmtId="177" fontId="10" fillId="0" borderId="0" xfId="4" applyNumberFormat="1" applyFont="1" applyFill="1" applyBorder="1">
      <alignment vertical="center"/>
    </xf>
    <xf numFmtId="41" fontId="7" fillId="0" borderId="0" xfId="1" applyFont="1" applyFill="1">
      <alignment vertical="center"/>
    </xf>
    <xf numFmtId="0" fontId="3" fillId="0" borderId="0" xfId="3" applyFont="1" applyAlignment="1">
      <alignment horizontal="right" vertical="center"/>
    </xf>
    <xf numFmtId="0" fontId="7" fillId="2" borderId="0" xfId="3" applyFont="1" applyFill="1">
      <alignment vertical="center"/>
    </xf>
    <xf numFmtId="10" fontId="7" fillId="0" borderId="0" xfId="5" applyNumberFormat="1" applyFont="1">
      <alignment vertical="center"/>
    </xf>
    <xf numFmtId="0" fontId="3" fillId="11" borderId="0" xfId="0" applyFont="1" applyFill="1">
      <alignment vertical="center"/>
    </xf>
    <xf numFmtId="0" fontId="3" fillId="4" borderId="5" xfId="3" applyFont="1" applyFill="1" applyBorder="1" applyAlignment="1">
      <alignment horizontal="center" vertical="center"/>
    </xf>
    <xf numFmtId="0" fontId="3" fillId="5" borderId="5" xfId="3" applyFont="1" applyFill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3" fillId="2" borderId="5" xfId="3" applyFont="1" applyFill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3" fillId="6" borderId="5" xfId="3" applyFont="1" applyFill="1" applyBorder="1" applyAlignment="1">
      <alignment horizontal="center" vertical="center"/>
    </xf>
    <xf numFmtId="0" fontId="3" fillId="7" borderId="5" xfId="3" applyFont="1" applyFill="1" applyBorder="1" applyAlignment="1">
      <alignment horizontal="center" vertical="center"/>
    </xf>
    <xf numFmtId="41" fontId="7" fillId="0" borderId="5" xfId="1" applyFont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3" borderId="0" xfId="3" applyFont="1" applyFill="1" applyAlignment="1">
      <alignment horizontal="center" vertical="center"/>
    </xf>
    <xf numFmtId="179" fontId="10" fillId="8" borderId="0" xfId="4" applyNumberFormat="1" applyFont="1" applyFill="1" applyBorder="1">
      <alignment vertical="center"/>
    </xf>
    <xf numFmtId="179" fontId="10" fillId="9" borderId="0" xfId="4" applyNumberFormat="1" applyFont="1" applyFill="1" applyBorder="1">
      <alignment vertical="center"/>
    </xf>
    <xf numFmtId="179" fontId="9" fillId="0" borderId="0" xfId="4" applyNumberFormat="1" applyFont="1" applyBorder="1">
      <alignment vertical="center"/>
    </xf>
    <xf numFmtId="179" fontId="10" fillId="7" borderId="0" xfId="4" applyNumberFormat="1" applyFont="1" applyFill="1" applyBorder="1">
      <alignment vertical="center"/>
    </xf>
    <xf numFmtId="179" fontId="10" fillId="0" borderId="0" xfId="4" applyNumberFormat="1" applyFont="1" applyFill="1" applyBorder="1">
      <alignment vertical="center"/>
    </xf>
    <xf numFmtId="179" fontId="10" fillId="10" borderId="0" xfId="4" applyNumberFormat="1" applyFont="1" applyFill="1" applyBorder="1">
      <alignment vertical="center"/>
    </xf>
    <xf numFmtId="179" fontId="7" fillId="0" borderId="0" xfId="3" applyNumberFormat="1" applyFont="1">
      <alignment vertical="center"/>
    </xf>
    <xf numFmtId="179" fontId="9" fillId="0" borderId="0" xfId="3" applyNumberFormat="1" applyFont="1">
      <alignment vertical="center"/>
    </xf>
    <xf numFmtId="180" fontId="9" fillId="0" borderId="0" xfId="3" applyNumberFormat="1" applyFont="1">
      <alignment vertical="center"/>
    </xf>
    <xf numFmtId="179" fontId="12" fillId="10" borderId="0" xfId="4" applyNumberFormat="1" applyFont="1" applyFill="1" applyBorder="1">
      <alignment vertical="center"/>
    </xf>
    <xf numFmtId="179" fontId="12" fillId="0" borderId="0" xfId="3" applyNumberFormat="1" applyFont="1">
      <alignment vertical="center"/>
    </xf>
    <xf numFmtId="177" fontId="13" fillId="0" borderId="0" xfId="4" applyNumberFormat="1" applyFont="1" applyFill="1" applyBorder="1">
      <alignment vertical="center"/>
    </xf>
    <xf numFmtId="177" fontId="14" fillId="0" borderId="0" xfId="4" applyNumberFormat="1" applyFont="1" applyFill="1" applyBorder="1">
      <alignment vertical="center"/>
    </xf>
    <xf numFmtId="176" fontId="14" fillId="0" borderId="0" xfId="3" applyNumberFormat="1" applyFont="1" applyAlignment="1">
      <alignment horizontal="right" vertical="center"/>
    </xf>
    <xf numFmtId="176" fontId="14" fillId="0" borderId="0" xfId="3" applyNumberFormat="1" applyFont="1" applyAlignment="1">
      <alignment horizontal="center" vertical="center"/>
    </xf>
    <xf numFmtId="179" fontId="13" fillId="8" borderId="0" xfId="4" applyNumberFormat="1" applyFont="1" applyFill="1" applyBorder="1">
      <alignment vertical="center"/>
    </xf>
    <xf numFmtId="179" fontId="13" fillId="9" borderId="0" xfId="4" applyNumberFormat="1" applyFont="1" applyFill="1" applyBorder="1">
      <alignment vertical="center"/>
    </xf>
    <xf numFmtId="179" fontId="14" fillId="0" borderId="0" xfId="4" applyNumberFormat="1" applyFont="1" applyBorder="1">
      <alignment vertical="center"/>
    </xf>
    <xf numFmtId="179" fontId="15" fillId="0" borderId="0" xfId="4" applyNumberFormat="1" applyFont="1" applyBorder="1">
      <alignment vertical="center"/>
    </xf>
    <xf numFmtId="179" fontId="13" fillId="7" borderId="0" xfId="4" applyNumberFormat="1" applyFont="1" applyFill="1" applyBorder="1">
      <alignment vertical="center"/>
    </xf>
    <xf numFmtId="179" fontId="13" fillId="0" borderId="0" xfId="4" applyNumberFormat="1" applyFont="1" applyFill="1" applyBorder="1">
      <alignment vertical="center"/>
    </xf>
    <xf numFmtId="179" fontId="14" fillId="10" borderId="0" xfId="4" applyNumberFormat="1" applyFont="1" applyFill="1" applyBorder="1">
      <alignment vertical="center"/>
    </xf>
    <xf numFmtId="179" fontId="14" fillId="0" borderId="0" xfId="3" applyNumberFormat="1" applyFont="1">
      <alignment vertical="center"/>
    </xf>
    <xf numFmtId="180" fontId="14" fillId="0" borderId="0" xfId="3" applyNumberFormat="1" applyFont="1">
      <alignment vertical="center"/>
    </xf>
    <xf numFmtId="179" fontId="0" fillId="0" borderId="0" xfId="0" applyNumberFormat="1">
      <alignment vertical="center"/>
    </xf>
    <xf numFmtId="41" fontId="14" fillId="0" borderId="0" xfId="1" applyFont="1" applyFill="1">
      <alignment vertical="center"/>
    </xf>
    <xf numFmtId="0" fontId="14" fillId="0" borderId="0" xfId="3" applyFont="1">
      <alignment vertical="center"/>
    </xf>
    <xf numFmtId="177" fontId="14" fillId="0" borderId="0" xfId="3" applyNumberFormat="1" applyFont="1" applyAlignment="1">
      <alignment horizontal="center" vertical="center"/>
    </xf>
    <xf numFmtId="177" fontId="14" fillId="0" borderId="0" xfId="3" applyNumberFormat="1" applyFont="1">
      <alignment vertical="center"/>
    </xf>
    <xf numFmtId="179" fontId="16" fillId="7" borderId="0" xfId="4" applyNumberFormat="1" applyFont="1" applyFill="1" applyBorder="1">
      <alignment vertical="center"/>
    </xf>
    <xf numFmtId="179" fontId="3" fillId="9" borderId="0" xfId="4" applyNumberFormat="1" applyFont="1" applyFill="1" applyBorder="1">
      <alignment vertical="center"/>
    </xf>
    <xf numFmtId="179" fontId="11" fillId="0" borderId="0" xfId="4" applyNumberFormat="1" applyFont="1" applyBorder="1">
      <alignment vertical="center"/>
    </xf>
    <xf numFmtId="179" fontId="17" fillId="0" borderId="0" xfId="0" applyNumberFormat="1" applyFont="1">
      <alignment vertical="center"/>
    </xf>
    <xf numFmtId="179" fontId="9" fillId="10" borderId="0" xfId="4" applyNumberFormat="1" applyFont="1" applyFill="1" applyBorder="1">
      <alignment vertical="center"/>
    </xf>
    <xf numFmtId="179" fontId="11" fillId="0" borderId="0" xfId="3" applyNumberFormat="1" applyFont="1">
      <alignment vertical="center"/>
    </xf>
    <xf numFmtId="41" fontId="14" fillId="0" borderId="0" xfId="1" applyFont="1" applyFill="1" applyBorder="1">
      <alignment vertical="center"/>
    </xf>
    <xf numFmtId="181" fontId="18" fillId="0" borderId="0" xfId="2" applyNumberFormat="1" applyFont="1" applyBorder="1">
      <alignment vertical="center"/>
    </xf>
    <xf numFmtId="41" fontId="14" fillId="0" borderId="0" xfId="1" applyFont="1" applyBorder="1">
      <alignment vertical="center"/>
    </xf>
    <xf numFmtId="179" fontId="19" fillId="0" borderId="0" xfId="0" applyNumberFormat="1" applyFont="1">
      <alignment vertical="center"/>
    </xf>
    <xf numFmtId="179" fontId="20" fillId="0" borderId="0" xfId="3" applyNumberFormat="1" applyFont="1">
      <alignment vertical="center"/>
    </xf>
    <xf numFmtId="181" fontId="18" fillId="0" borderId="0" xfId="2" applyNumberFormat="1" applyFont="1">
      <alignment vertical="center"/>
    </xf>
    <xf numFmtId="41" fontId="9" fillId="0" borderId="0" xfId="1" applyFont="1" applyFill="1">
      <alignment vertical="center"/>
    </xf>
    <xf numFmtId="179" fontId="20" fillId="0" borderId="0" xfId="4" applyNumberFormat="1" applyFont="1" applyBorder="1">
      <alignment vertical="center"/>
    </xf>
    <xf numFmtId="180" fontId="9" fillId="0" borderId="0" xfId="4" applyNumberFormat="1" applyFont="1" applyBorder="1">
      <alignment vertical="center"/>
    </xf>
    <xf numFmtId="179" fontId="21" fillId="0" borderId="0" xfId="0" applyNumberFormat="1" applyFont="1">
      <alignment vertical="center"/>
    </xf>
    <xf numFmtId="0" fontId="21" fillId="0" borderId="0" xfId="0" applyFont="1">
      <alignment vertical="center"/>
    </xf>
    <xf numFmtId="179" fontId="10" fillId="8" borderId="4" xfId="4" applyNumberFormat="1" applyFont="1" applyFill="1" applyBorder="1">
      <alignment vertical="center"/>
    </xf>
    <xf numFmtId="179" fontId="10" fillId="9" borderId="4" xfId="4" applyNumberFormat="1" applyFont="1" applyFill="1" applyBorder="1">
      <alignment vertical="center"/>
    </xf>
    <xf numFmtId="179" fontId="9" fillId="0" borderId="4" xfId="4" applyNumberFormat="1" applyFont="1" applyBorder="1">
      <alignment vertical="center"/>
    </xf>
    <xf numFmtId="179" fontId="10" fillId="7" borderId="4" xfId="4" applyNumberFormat="1" applyFont="1" applyFill="1" applyBorder="1">
      <alignment vertical="center"/>
    </xf>
    <xf numFmtId="179" fontId="10" fillId="0" borderId="4" xfId="4" applyNumberFormat="1" applyFont="1" applyFill="1" applyBorder="1">
      <alignment vertical="center"/>
    </xf>
    <xf numFmtId="179" fontId="10" fillId="10" borderId="4" xfId="4" applyNumberFormat="1" applyFont="1" applyFill="1" applyBorder="1">
      <alignment vertical="center"/>
    </xf>
    <xf numFmtId="179" fontId="20" fillId="0" borderId="4" xfId="3" applyNumberFormat="1" applyFont="1" applyBorder="1">
      <alignment vertical="center"/>
    </xf>
    <xf numFmtId="179" fontId="9" fillId="0" borderId="4" xfId="3" applyNumberFormat="1" applyFont="1" applyBorder="1">
      <alignment vertical="center"/>
    </xf>
    <xf numFmtId="180" fontId="9" fillId="0" borderId="4" xfId="4" applyNumberFormat="1" applyFont="1" applyBorder="1">
      <alignment vertical="center"/>
    </xf>
    <xf numFmtId="179" fontId="9" fillId="10" borderId="4" xfId="4" applyNumberFormat="1" applyFont="1" applyFill="1" applyBorder="1">
      <alignment vertical="center"/>
    </xf>
    <xf numFmtId="41" fontId="9" fillId="0" borderId="4" xfId="1" applyFont="1" applyFill="1" applyBorder="1">
      <alignment vertical="center"/>
    </xf>
    <xf numFmtId="181" fontId="18" fillId="0" borderId="4" xfId="2" applyNumberFormat="1" applyFont="1" applyBorder="1">
      <alignment vertical="center"/>
    </xf>
    <xf numFmtId="0" fontId="14" fillId="0" borderId="4" xfId="3" applyFont="1" applyBorder="1">
      <alignment vertical="center"/>
    </xf>
    <xf numFmtId="177" fontId="14" fillId="0" borderId="4" xfId="3" applyNumberFormat="1" applyFont="1" applyBorder="1" applyAlignment="1">
      <alignment horizontal="center" vertical="center"/>
    </xf>
    <xf numFmtId="41" fontId="9" fillId="0" borderId="0" xfId="1" applyFont="1" applyFill="1" applyBorder="1">
      <alignment vertical="center"/>
    </xf>
    <xf numFmtId="182" fontId="18" fillId="0" borderId="0" xfId="2" applyNumberFormat="1" applyFont="1" applyBorder="1">
      <alignment vertical="center"/>
    </xf>
    <xf numFmtId="182" fontId="22" fillId="0" borderId="0" xfId="2" applyNumberFormat="1" applyFont="1" applyBorder="1">
      <alignment vertical="center"/>
    </xf>
    <xf numFmtId="179" fontId="7" fillId="0" borderId="0" xfId="1" applyNumberFormat="1" applyFont="1" applyBorder="1">
      <alignment vertical="center"/>
    </xf>
    <xf numFmtId="182" fontId="23" fillId="0" borderId="0" xfId="2" applyNumberFormat="1" applyFont="1" applyBorder="1">
      <alignment vertical="center"/>
    </xf>
    <xf numFmtId="179" fontId="0" fillId="0" borderId="4" xfId="0" applyNumberFormat="1" applyBorder="1">
      <alignment vertical="center"/>
    </xf>
    <xf numFmtId="182" fontId="22" fillId="0" borderId="4" xfId="2" applyNumberFormat="1" applyFont="1" applyBorder="1">
      <alignment vertical="center"/>
    </xf>
    <xf numFmtId="176" fontId="9" fillId="0" borderId="8" xfId="3" applyNumberFormat="1" applyFont="1" applyBorder="1" applyAlignment="1">
      <alignment horizontal="center" vertical="center"/>
    </xf>
    <xf numFmtId="179" fontId="10" fillId="8" borderId="8" xfId="4" applyNumberFormat="1" applyFont="1" applyFill="1" applyBorder="1">
      <alignment vertical="center"/>
    </xf>
    <xf numFmtId="179" fontId="10" fillId="9" borderId="8" xfId="4" applyNumberFormat="1" applyFont="1" applyFill="1" applyBorder="1">
      <alignment vertical="center"/>
    </xf>
    <xf numFmtId="179" fontId="9" fillId="0" borderId="8" xfId="4" applyNumberFormat="1" applyFont="1" applyBorder="1">
      <alignment vertical="center"/>
    </xf>
    <xf numFmtId="179" fontId="10" fillId="7" borderId="8" xfId="4" applyNumberFormat="1" applyFont="1" applyFill="1" applyBorder="1">
      <alignment vertical="center"/>
    </xf>
    <xf numFmtId="179" fontId="10" fillId="0" borderId="8" xfId="4" applyNumberFormat="1" applyFont="1" applyFill="1" applyBorder="1">
      <alignment vertical="center"/>
    </xf>
    <xf numFmtId="179" fontId="10" fillId="10" borderId="8" xfId="4" applyNumberFormat="1" applyFont="1" applyFill="1" applyBorder="1">
      <alignment vertical="center"/>
    </xf>
    <xf numFmtId="179" fontId="20" fillId="0" borderId="8" xfId="3" applyNumberFormat="1" applyFont="1" applyBorder="1">
      <alignment vertical="center"/>
    </xf>
    <xf numFmtId="179" fontId="9" fillId="0" borderId="8" xfId="3" applyNumberFormat="1" applyFont="1" applyBorder="1">
      <alignment vertical="center"/>
    </xf>
    <xf numFmtId="180" fontId="9" fillId="0" borderId="8" xfId="4" applyNumberFormat="1" applyFont="1" applyBorder="1">
      <alignment vertical="center"/>
    </xf>
    <xf numFmtId="179" fontId="9" fillId="10" borderId="8" xfId="4" applyNumberFormat="1" applyFont="1" applyFill="1" applyBorder="1">
      <alignment vertical="center"/>
    </xf>
    <xf numFmtId="179" fontId="0" fillId="0" borderId="8" xfId="0" applyNumberFormat="1" applyBorder="1">
      <alignment vertical="center"/>
    </xf>
    <xf numFmtId="41" fontId="9" fillId="0" borderId="8" xfId="1" applyFont="1" applyFill="1" applyBorder="1">
      <alignment vertical="center"/>
    </xf>
    <xf numFmtId="182" fontId="22" fillId="0" borderId="8" xfId="2" applyNumberFormat="1" applyFont="1" applyBorder="1">
      <alignment vertical="center"/>
    </xf>
    <xf numFmtId="179" fontId="9" fillId="0" borderId="0" xfId="1" applyNumberFormat="1" applyFont="1" applyBorder="1">
      <alignment vertical="center"/>
    </xf>
    <xf numFmtId="179" fontId="9" fillId="0" borderId="4" xfId="1" applyNumberFormat="1" applyFont="1" applyBorder="1">
      <alignment vertical="center"/>
    </xf>
    <xf numFmtId="179" fontId="7" fillId="0" borderId="0" xfId="0" applyNumberFormat="1" applyFont="1">
      <alignment vertical="center"/>
    </xf>
    <xf numFmtId="182" fontId="9" fillId="0" borderId="0" xfId="2" applyNumberFormat="1" applyFont="1" applyBorder="1">
      <alignment vertical="center"/>
    </xf>
    <xf numFmtId="0" fontId="24" fillId="0" borderId="0" xfId="0" applyFont="1">
      <alignment vertical="center"/>
    </xf>
    <xf numFmtId="0" fontId="7" fillId="0" borderId="0" xfId="0" applyFont="1">
      <alignment vertical="center"/>
    </xf>
    <xf numFmtId="9" fontId="7" fillId="0" borderId="0" xfId="2" applyFont="1">
      <alignment vertical="center"/>
    </xf>
    <xf numFmtId="180" fontId="9" fillId="0" borderId="4" xfId="3" applyNumberFormat="1" applyFont="1" applyBorder="1">
      <alignment vertical="center"/>
    </xf>
    <xf numFmtId="182" fontId="9" fillId="0" borderId="8" xfId="2" applyNumberFormat="1" applyFont="1" applyBorder="1">
      <alignment vertical="center"/>
    </xf>
    <xf numFmtId="41" fontId="25" fillId="0" borderId="0" xfId="1" applyFont="1" applyFill="1" applyBorder="1">
      <alignment vertical="center"/>
    </xf>
    <xf numFmtId="179" fontId="26" fillId="8" borderId="0" xfId="4" applyNumberFormat="1" applyFont="1" applyFill="1" applyBorder="1">
      <alignment vertical="center"/>
    </xf>
    <xf numFmtId="179" fontId="26" fillId="9" borderId="0" xfId="4" applyNumberFormat="1" applyFont="1" applyFill="1" applyBorder="1">
      <alignment vertical="center"/>
    </xf>
    <xf numFmtId="179" fontId="26" fillId="7" borderId="0" xfId="4" applyNumberFormat="1" applyFont="1" applyFill="1" applyBorder="1">
      <alignment vertical="center"/>
    </xf>
    <xf numFmtId="179" fontId="26" fillId="10" borderId="0" xfId="4" applyNumberFormat="1" applyFont="1" applyFill="1" applyBorder="1">
      <alignment vertical="center"/>
    </xf>
    <xf numFmtId="180" fontId="20" fillId="0" borderId="0" xfId="3" applyNumberFormat="1" applyFont="1">
      <alignment vertical="center"/>
    </xf>
    <xf numFmtId="179" fontId="20" fillId="10" borderId="0" xfId="4" applyNumberFormat="1" applyFont="1" applyFill="1" applyBorder="1">
      <alignment vertical="center"/>
    </xf>
    <xf numFmtId="179" fontId="20" fillId="4" borderId="0" xfId="3" applyNumberFormat="1" applyFont="1" applyFill="1">
      <alignment vertical="center"/>
    </xf>
    <xf numFmtId="182" fontId="27" fillId="0" borderId="0" xfId="2" applyNumberFormat="1" applyFont="1" applyBorder="1">
      <alignment vertical="center"/>
    </xf>
    <xf numFmtId="179" fontId="26" fillId="8" borderId="4" xfId="4" applyNumberFormat="1" applyFont="1" applyFill="1" applyBorder="1">
      <alignment vertical="center"/>
    </xf>
    <xf numFmtId="179" fontId="26" fillId="9" borderId="4" xfId="4" applyNumberFormat="1" applyFont="1" applyFill="1" applyBorder="1">
      <alignment vertical="center"/>
    </xf>
    <xf numFmtId="179" fontId="20" fillId="0" borderId="4" xfId="4" applyNumberFormat="1" applyFont="1" applyBorder="1">
      <alignment vertical="center"/>
    </xf>
    <xf numFmtId="179" fontId="26" fillId="7" borderId="4" xfId="4" applyNumberFormat="1" applyFont="1" applyFill="1" applyBorder="1">
      <alignment vertical="center"/>
    </xf>
    <xf numFmtId="179" fontId="26" fillId="10" borderId="4" xfId="4" applyNumberFormat="1" applyFont="1" applyFill="1" applyBorder="1">
      <alignment vertical="center"/>
    </xf>
    <xf numFmtId="180" fontId="20" fillId="0" borderId="4" xfId="3" applyNumberFormat="1" applyFont="1" applyBorder="1">
      <alignment vertical="center"/>
    </xf>
    <xf numFmtId="179" fontId="20" fillId="10" borderId="4" xfId="4" applyNumberFormat="1" applyFont="1" applyFill="1" applyBorder="1">
      <alignment vertical="center"/>
    </xf>
    <xf numFmtId="179" fontId="20" fillId="4" borderId="4" xfId="3" applyNumberFormat="1" applyFont="1" applyFill="1" applyBorder="1">
      <alignment vertical="center"/>
    </xf>
    <xf numFmtId="41" fontId="25" fillId="0" borderId="4" xfId="1" applyFont="1" applyFill="1" applyBorder="1">
      <alignment vertical="center"/>
    </xf>
    <xf numFmtId="182" fontId="27" fillId="0" borderId="4" xfId="2" applyNumberFormat="1" applyFont="1" applyBorder="1">
      <alignment vertical="center"/>
    </xf>
    <xf numFmtId="182" fontId="27" fillId="0" borderId="8" xfId="2" applyNumberFormat="1" applyFont="1" applyBorder="1">
      <alignment vertical="center"/>
    </xf>
    <xf numFmtId="182" fontId="25" fillId="0" borderId="0" xfId="2" applyNumberFormat="1" applyFont="1" applyBorder="1">
      <alignment vertical="center"/>
    </xf>
    <xf numFmtId="10" fontId="7" fillId="0" borderId="0" xfId="3" applyNumberFormat="1" applyFont="1">
      <alignment vertical="center"/>
    </xf>
    <xf numFmtId="179" fontId="26" fillId="0" borderId="0" xfId="4" applyNumberFormat="1" applyFont="1" applyFill="1" applyBorder="1">
      <alignment vertical="center"/>
    </xf>
    <xf numFmtId="179" fontId="20" fillId="0" borderId="0" xfId="4" applyNumberFormat="1" applyFont="1" applyFill="1" applyBorder="1">
      <alignment vertical="center"/>
    </xf>
    <xf numFmtId="0" fontId="7" fillId="0" borderId="0" xfId="3" applyFont="1" applyAlignment="1">
      <alignment horizontal="right" vertical="center"/>
    </xf>
    <xf numFmtId="41" fontId="7" fillId="12" borderId="0" xfId="3" applyNumberFormat="1" applyFont="1" applyFill="1">
      <alignment vertical="center"/>
    </xf>
    <xf numFmtId="182" fontId="27" fillId="0" borderId="0" xfId="2" applyNumberFormat="1" applyFont="1" applyFill="1" applyBorder="1">
      <alignment vertical="center"/>
    </xf>
    <xf numFmtId="182" fontId="27" fillId="0" borderId="0" xfId="2" applyNumberFormat="1" applyFont="1">
      <alignment vertical="center"/>
    </xf>
    <xf numFmtId="9" fontId="7" fillId="0" borderId="0" xfId="2" applyFont="1" applyFill="1">
      <alignment vertical="center"/>
    </xf>
    <xf numFmtId="181" fontId="20" fillId="0" borderId="0" xfId="2" applyNumberFormat="1" applyFont="1" applyFill="1" applyBorder="1">
      <alignment vertical="center"/>
    </xf>
    <xf numFmtId="182" fontId="18" fillId="0" borderId="0" xfId="2" applyNumberFormat="1" applyFont="1">
      <alignment vertical="center"/>
    </xf>
    <xf numFmtId="183" fontId="10" fillId="7" borderId="0" xfId="3" applyNumberFormat="1" applyFont="1" applyFill="1" applyAlignment="1">
      <alignment horizontal="center" vertical="center"/>
    </xf>
    <xf numFmtId="179" fontId="10" fillId="14" borderId="0" xfId="4" applyNumberFormat="1" applyFont="1" applyFill="1" applyBorder="1">
      <alignment vertical="center"/>
    </xf>
    <xf numFmtId="179" fontId="9" fillId="14" borderId="0" xfId="4" applyNumberFormat="1" applyFont="1" applyFill="1" applyBorder="1">
      <alignment vertical="center"/>
    </xf>
    <xf numFmtId="179" fontId="9" fillId="0" borderId="0" xfId="4" applyNumberFormat="1" applyFont="1" applyFill="1" applyBorder="1">
      <alignment vertical="center"/>
    </xf>
    <xf numFmtId="180" fontId="9" fillId="0" borderId="0" xfId="4" applyNumberFormat="1" applyFont="1" applyFill="1" applyBorder="1">
      <alignment vertical="center"/>
    </xf>
    <xf numFmtId="184" fontId="5" fillId="0" borderId="0" xfId="2" applyNumberFormat="1" applyFont="1" applyFill="1" applyBorder="1">
      <alignment vertical="center"/>
    </xf>
    <xf numFmtId="0" fontId="28" fillId="0" borderId="0" xfId="0" applyFont="1" applyAlignment="1">
      <alignment horizontal="left" vertical="center"/>
    </xf>
    <xf numFmtId="41" fontId="5" fillId="0" borderId="0" xfId="1" applyFont="1" applyFill="1" applyAlignment="1">
      <alignment horizontal="left" vertical="center"/>
    </xf>
    <xf numFmtId="182" fontId="4" fillId="0" borderId="0" xfId="2" quotePrefix="1" applyNumberFormat="1" applyFont="1" applyBorder="1">
      <alignment vertical="center"/>
    </xf>
    <xf numFmtId="185" fontId="18" fillId="0" borderId="0" xfId="2" applyNumberFormat="1" applyFont="1">
      <alignment vertical="center"/>
    </xf>
    <xf numFmtId="185" fontId="28" fillId="0" borderId="0" xfId="2" applyNumberFormat="1" applyFont="1">
      <alignment vertical="center"/>
    </xf>
    <xf numFmtId="183" fontId="26" fillId="7" borderId="0" xfId="3" applyNumberFormat="1" applyFont="1" applyFill="1" applyAlignment="1">
      <alignment horizontal="center" vertical="center"/>
    </xf>
    <xf numFmtId="179" fontId="26" fillId="14" borderId="0" xfId="4" applyNumberFormat="1" applyFont="1" applyFill="1" applyBorder="1">
      <alignment vertical="center"/>
    </xf>
    <xf numFmtId="179" fontId="20" fillId="14" borderId="0" xfId="4" applyNumberFormat="1" applyFont="1" applyFill="1" applyBorder="1">
      <alignment vertical="center"/>
    </xf>
    <xf numFmtId="180" fontId="20" fillId="0" borderId="0" xfId="4" applyNumberFormat="1" applyFont="1" applyFill="1" applyBorder="1">
      <alignment vertical="center"/>
    </xf>
    <xf numFmtId="184" fontId="29" fillId="0" borderId="0" xfId="2" applyNumberFormat="1" applyFont="1" applyFill="1" applyBorder="1">
      <alignment vertical="center"/>
    </xf>
    <xf numFmtId="185" fontId="29" fillId="0" borderId="0" xfId="2" applyNumberFormat="1" applyFont="1">
      <alignment vertical="center"/>
    </xf>
    <xf numFmtId="181" fontId="30" fillId="0" borderId="0" xfId="2" applyNumberFormat="1" applyFont="1" applyFill="1">
      <alignment vertical="center"/>
    </xf>
    <xf numFmtId="41" fontId="20" fillId="0" borderId="0" xfId="1" applyFont="1" applyFill="1">
      <alignment vertical="center"/>
    </xf>
    <xf numFmtId="183" fontId="31" fillId="7" borderId="0" xfId="3" applyNumberFormat="1" applyFont="1" applyFill="1" applyAlignment="1">
      <alignment horizontal="center" vertical="center"/>
    </xf>
    <xf numFmtId="179" fontId="31" fillId="14" borderId="0" xfId="4" applyNumberFormat="1" applyFont="1" applyFill="1" applyBorder="1">
      <alignment vertical="center"/>
    </xf>
    <xf numFmtId="179" fontId="25" fillId="14" borderId="0" xfId="4" applyNumberFormat="1" applyFont="1" applyFill="1" applyBorder="1">
      <alignment vertical="center"/>
    </xf>
    <xf numFmtId="179" fontId="25" fillId="0" borderId="0" xfId="4" applyNumberFormat="1" applyFont="1" applyFill="1" applyBorder="1">
      <alignment vertical="center"/>
    </xf>
    <xf numFmtId="179" fontId="31" fillId="0" borderId="0" xfId="4" applyNumberFormat="1" applyFont="1" applyFill="1" applyBorder="1">
      <alignment vertical="center"/>
    </xf>
    <xf numFmtId="180" fontId="25" fillId="0" borderId="0" xfId="4" applyNumberFormat="1" applyFont="1" applyFill="1" applyBorder="1">
      <alignment vertical="center"/>
    </xf>
    <xf numFmtId="185" fontId="32" fillId="0" borderId="0" xfId="2" applyNumberFormat="1" applyFont="1">
      <alignment vertical="center"/>
    </xf>
    <xf numFmtId="181" fontId="33" fillId="0" borderId="0" xfId="2" applyNumberFormat="1" applyFont="1" applyFill="1">
      <alignment vertical="center"/>
    </xf>
    <xf numFmtId="41" fontId="25" fillId="0" borderId="0" xfId="1" applyFont="1" applyFill="1">
      <alignment vertical="center"/>
    </xf>
    <xf numFmtId="0" fontId="34" fillId="0" borderId="0" xfId="0" applyFont="1">
      <alignment vertical="center"/>
    </xf>
    <xf numFmtId="0" fontId="2" fillId="0" borderId="0" xfId="0" applyFont="1">
      <alignment vertical="center"/>
    </xf>
    <xf numFmtId="182" fontId="18" fillId="0" borderId="0" xfId="2" applyNumberFormat="1" applyFont="1" applyAlignment="1">
      <alignment horizontal="right" vertical="center"/>
    </xf>
    <xf numFmtId="41" fontId="18" fillId="0" borderId="0" xfId="1" applyFont="1">
      <alignment vertical="center"/>
    </xf>
    <xf numFmtId="182" fontId="22" fillId="0" borderId="0" xfId="2" applyNumberFormat="1" applyFont="1" applyBorder="1" applyAlignment="1">
      <alignment horizontal="right" vertical="center"/>
    </xf>
    <xf numFmtId="182" fontId="27" fillId="0" borderId="0" xfId="2" applyNumberFormat="1" applyFont="1" applyBorder="1" applyAlignment="1">
      <alignment horizontal="right" vertical="center"/>
    </xf>
    <xf numFmtId="185" fontId="30" fillId="0" borderId="0" xfId="2" applyNumberFormat="1" applyFont="1">
      <alignment vertical="center"/>
    </xf>
    <xf numFmtId="0" fontId="7" fillId="0" borderId="0" xfId="3" quotePrefix="1" applyFont="1">
      <alignment vertical="center"/>
    </xf>
    <xf numFmtId="41" fontId="35" fillId="0" borderId="0" xfId="1" applyFont="1">
      <alignment vertical="center"/>
    </xf>
    <xf numFmtId="14" fontId="7" fillId="0" borderId="0" xfId="3" quotePrefix="1" applyNumberFormat="1" applyFont="1">
      <alignment vertical="center"/>
    </xf>
    <xf numFmtId="0" fontId="36" fillId="0" borderId="0" xfId="0" applyFont="1">
      <alignment vertical="center"/>
    </xf>
    <xf numFmtId="0" fontId="18" fillId="0" borderId="0" xfId="0" applyFont="1">
      <alignment vertical="center"/>
    </xf>
    <xf numFmtId="181" fontId="7" fillId="0" borderId="0" xfId="3" applyNumberFormat="1" applyFont="1">
      <alignment vertical="center"/>
    </xf>
    <xf numFmtId="0" fontId="18" fillId="14" borderId="0" xfId="0" applyFont="1" applyFill="1">
      <alignment vertical="center"/>
    </xf>
    <xf numFmtId="0" fontId="7" fillId="14" borderId="0" xfId="0" applyFont="1" applyFill="1">
      <alignment vertical="center"/>
    </xf>
    <xf numFmtId="179" fontId="7" fillId="14" borderId="0" xfId="3" applyNumberFormat="1" applyFont="1" applyFill="1">
      <alignment vertical="center"/>
    </xf>
    <xf numFmtId="9" fontId="7" fillId="14" borderId="0" xfId="2" applyFont="1" applyFill="1">
      <alignment vertical="center"/>
    </xf>
    <xf numFmtId="0" fontId="18" fillId="10" borderId="0" xfId="0" applyFont="1" applyFill="1">
      <alignment vertical="center"/>
    </xf>
    <xf numFmtId="0" fontId="7" fillId="10" borderId="0" xfId="0" applyFont="1" applyFill="1">
      <alignment vertical="center"/>
    </xf>
    <xf numFmtId="179" fontId="7" fillId="10" borderId="0" xfId="3" applyNumberFormat="1" applyFont="1" applyFill="1">
      <alignment vertical="center"/>
    </xf>
    <xf numFmtId="9" fontId="7" fillId="10" borderId="0" xfId="2" applyFont="1" applyFill="1">
      <alignment vertical="center"/>
    </xf>
    <xf numFmtId="0" fontId="0" fillId="0" borderId="0" xfId="0" quotePrefix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179" fontId="0" fillId="8" borderId="0" xfId="0" applyNumberFormat="1" applyFill="1">
      <alignment vertical="center"/>
    </xf>
    <xf numFmtId="0" fontId="7" fillId="0" borderId="0" xfId="3" applyFont="1" applyAlignment="1">
      <alignment horizontal="left" vertical="center"/>
    </xf>
    <xf numFmtId="0" fontId="7" fillId="0" borderId="2" xfId="0" applyFont="1" applyBorder="1">
      <alignment vertical="center"/>
    </xf>
    <xf numFmtId="0" fontId="0" fillId="0" borderId="8" xfId="0" applyBorder="1">
      <alignment vertical="center"/>
    </xf>
    <xf numFmtId="0" fontId="7" fillId="0" borderId="8" xfId="0" applyFont="1" applyBorder="1">
      <alignment vertical="center"/>
    </xf>
    <xf numFmtId="0" fontId="7" fillId="0" borderId="8" xfId="3" applyFont="1" applyBorder="1" applyAlignment="1">
      <alignment horizontal="center" vertical="center"/>
    </xf>
    <xf numFmtId="0" fontId="7" fillId="0" borderId="3" xfId="3" applyFont="1" applyBorder="1">
      <alignment vertical="center"/>
    </xf>
    <xf numFmtId="0" fontId="18" fillId="0" borderId="0" xfId="0" quotePrefix="1" applyFont="1" applyAlignment="1">
      <alignment horizontal="right" vertical="center"/>
    </xf>
    <xf numFmtId="41" fontId="7" fillId="0" borderId="9" xfId="1" applyFont="1" applyBorder="1">
      <alignment vertical="center"/>
    </xf>
    <xf numFmtId="41" fontId="7" fillId="0" borderId="0" xfId="0" applyNumberFormat="1" applyFont="1" applyAlignment="1">
      <alignment horizontal="center" vertical="center"/>
    </xf>
    <xf numFmtId="0" fontId="7" fillId="0" borderId="10" xfId="3" applyFont="1" applyBorder="1">
      <alignment vertical="center"/>
    </xf>
    <xf numFmtId="0" fontId="7" fillId="0" borderId="0" xfId="0" applyFont="1" applyAlignment="1">
      <alignment horizontal="center" vertical="center"/>
    </xf>
    <xf numFmtId="186" fontId="18" fillId="0" borderId="0" xfId="0" applyNumberFormat="1" applyFont="1">
      <alignment vertical="center"/>
    </xf>
    <xf numFmtId="41" fontId="7" fillId="0" borderId="11" xfId="1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12" xfId="3" applyFont="1" applyBorder="1">
      <alignment vertical="center"/>
    </xf>
    <xf numFmtId="187" fontId="18" fillId="0" borderId="0" xfId="0" applyNumberFormat="1" applyFont="1">
      <alignment vertical="center"/>
    </xf>
    <xf numFmtId="0" fontId="18" fillId="15" borderId="0" xfId="0" applyFont="1" applyFill="1" applyAlignment="1">
      <alignment horizontal="right" vertical="center"/>
    </xf>
    <xf numFmtId="41" fontId="18" fillId="15" borderId="0" xfId="1" applyFont="1" applyFill="1">
      <alignment vertical="center"/>
    </xf>
    <xf numFmtId="179" fontId="18" fillId="0" borderId="0" xfId="0" applyNumberFormat="1" applyFont="1">
      <alignment vertical="center"/>
    </xf>
    <xf numFmtId="0" fontId="24" fillId="12" borderId="0" xfId="0" applyFont="1" applyFill="1" applyAlignment="1">
      <alignment horizontal="right" vertical="center"/>
    </xf>
    <xf numFmtId="41" fontId="37" fillId="12" borderId="0" xfId="0" applyNumberFormat="1" applyFont="1" applyFill="1">
      <alignment vertical="center"/>
    </xf>
    <xf numFmtId="43" fontId="0" fillId="0" borderId="0" xfId="0" applyNumberFormat="1">
      <alignment vertical="center"/>
    </xf>
    <xf numFmtId="177" fontId="10" fillId="0" borderId="0" xfId="4" applyNumberFormat="1" applyFont="1" applyFill="1" applyBorder="1" applyAlignment="1">
      <alignment horizontal="right" vertical="center"/>
    </xf>
  </cellXfs>
  <cellStyles count="6">
    <cellStyle name="백분율" xfId="2" builtinId="5"/>
    <cellStyle name="백분율 2" xfId="5" xr:uid="{0E1B3AC7-2CAA-426E-8591-100E35901814}"/>
    <cellStyle name="쉼표 [0]" xfId="1" builtinId="6"/>
    <cellStyle name="쉼표 [0] 2" xfId="4" xr:uid="{DB53D08C-44E2-4410-BD70-680559791B88}"/>
    <cellStyle name="표준" xfId="0" builtinId="0"/>
    <cellStyle name="표준 2" xfId="3" xr:uid="{9213DED5-FB43-427F-91E5-1A69B2917858}"/>
  </cellStyles>
  <dxfs count="1"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4"/>
          <c:order val="3"/>
          <c:tx>
            <c:v>합계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Overflow="overflow" horzOverflow="overflow"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chemeClr val="bg1">
                        <a:lumMod val="65000"/>
                      </a:schemeClr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50">
                <a:solidFill>
                  <a:srgbClr val="FF0000"/>
                </a:solidFill>
                <a:prstDash val="sysDash"/>
              </a:ln>
            </c:spPr>
            <c:trendlineType val="exp"/>
            <c:dispRSqr val="0"/>
            <c:dispEq val="0"/>
          </c:trendline>
          <c:cat>
            <c:numRef>
              <c:f>(관리비_Kenneth!$A$4:$A$51,관리비_Kenneth!$A$60:$A$169)</c:f>
              <c:numCache>
                <c:formatCode>yyyy/mm</c:formatCode>
                <c:ptCount val="158"/>
                <c:pt idx="0">
                  <c:v>43132</c:v>
                </c:pt>
                <c:pt idx="1">
                  <c:v>43160</c:v>
                </c:pt>
                <c:pt idx="2">
                  <c:v>43191</c:v>
                </c:pt>
                <c:pt idx="3">
                  <c:v>43221</c:v>
                </c:pt>
                <c:pt idx="4">
                  <c:v>43252</c:v>
                </c:pt>
                <c:pt idx="5">
                  <c:v>43282</c:v>
                </c:pt>
                <c:pt idx="6">
                  <c:v>43313</c:v>
                </c:pt>
                <c:pt idx="7">
                  <c:v>43344</c:v>
                </c:pt>
                <c:pt idx="8">
                  <c:v>43374</c:v>
                </c:pt>
                <c:pt idx="9">
                  <c:v>43405</c:v>
                </c:pt>
                <c:pt idx="10">
                  <c:v>43435</c:v>
                </c:pt>
                <c:pt idx="11">
                  <c:v>43466</c:v>
                </c:pt>
                <c:pt idx="12">
                  <c:v>43497</c:v>
                </c:pt>
                <c:pt idx="13">
                  <c:v>43525</c:v>
                </c:pt>
                <c:pt idx="14">
                  <c:v>43556</c:v>
                </c:pt>
                <c:pt idx="15">
                  <c:v>43586</c:v>
                </c:pt>
                <c:pt idx="16">
                  <c:v>43617</c:v>
                </c:pt>
                <c:pt idx="17">
                  <c:v>43647</c:v>
                </c:pt>
                <c:pt idx="18">
                  <c:v>43678</c:v>
                </c:pt>
                <c:pt idx="19">
                  <c:v>43709</c:v>
                </c:pt>
                <c:pt idx="20">
                  <c:v>43739</c:v>
                </c:pt>
                <c:pt idx="21">
                  <c:v>43770</c:v>
                </c:pt>
                <c:pt idx="22">
                  <c:v>43800</c:v>
                </c:pt>
                <c:pt idx="23">
                  <c:v>43831</c:v>
                </c:pt>
                <c:pt idx="24">
                  <c:v>43862</c:v>
                </c:pt>
                <c:pt idx="25">
                  <c:v>43891</c:v>
                </c:pt>
                <c:pt idx="26">
                  <c:v>43922</c:v>
                </c:pt>
                <c:pt idx="27">
                  <c:v>43952</c:v>
                </c:pt>
                <c:pt idx="28">
                  <c:v>43983</c:v>
                </c:pt>
                <c:pt idx="29">
                  <c:v>44013</c:v>
                </c:pt>
                <c:pt idx="30">
                  <c:v>44044</c:v>
                </c:pt>
                <c:pt idx="31">
                  <c:v>44075</c:v>
                </c:pt>
                <c:pt idx="32">
                  <c:v>44105</c:v>
                </c:pt>
                <c:pt idx="33">
                  <c:v>44136</c:v>
                </c:pt>
                <c:pt idx="34">
                  <c:v>44166</c:v>
                </c:pt>
                <c:pt idx="35">
                  <c:v>44197</c:v>
                </c:pt>
                <c:pt idx="36">
                  <c:v>44228</c:v>
                </c:pt>
                <c:pt idx="37">
                  <c:v>44256</c:v>
                </c:pt>
                <c:pt idx="38">
                  <c:v>44287</c:v>
                </c:pt>
                <c:pt idx="39">
                  <c:v>44317</c:v>
                </c:pt>
                <c:pt idx="40">
                  <c:v>44348</c:v>
                </c:pt>
                <c:pt idx="41">
                  <c:v>44378</c:v>
                </c:pt>
                <c:pt idx="42">
                  <c:v>44409</c:v>
                </c:pt>
                <c:pt idx="43">
                  <c:v>44440</c:v>
                </c:pt>
                <c:pt idx="44">
                  <c:v>44470</c:v>
                </c:pt>
                <c:pt idx="45">
                  <c:v>44501</c:v>
                </c:pt>
                <c:pt idx="46">
                  <c:v>44531</c:v>
                </c:pt>
                <c:pt idx="47">
                  <c:v>44562</c:v>
                </c:pt>
                <c:pt idx="48">
                  <c:v>44593</c:v>
                </c:pt>
                <c:pt idx="49">
                  <c:v>44621</c:v>
                </c:pt>
                <c:pt idx="50">
                  <c:v>44652</c:v>
                </c:pt>
                <c:pt idx="51">
                  <c:v>44682</c:v>
                </c:pt>
                <c:pt idx="52">
                  <c:v>44713</c:v>
                </c:pt>
                <c:pt idx="53">
                  <c:v>44743</c:v>
                </c:pt>
                <c:pt idx="54">
                  <c:v>44774</c:v>
                </c:pt>
                <c:pt idx="55">
                  <c:v>44805</c:v>
                </c:pt>
                <c:pt idx="56">
                  <c:v>44835</c:v>
                </c:pt>
                <c:pt idx="57">
                  <c:v>44866</c:v>
                </c:pt>
                <c:pt idx="58">
                  <c:v>44896</c:v>
                </c:pt>
                <c:pt idx="59">
                  <c:v>44927</c:v>
                </c:pt>
                <c:pt idx="60">
                  <c:v>44958</c:v>
                </c:pt>
                <c:pt idx="61">
                  <c:v>44986</c:v>
                </c:pt>
                <c:pt idx="62">
                  <c:v>45017</c:v>
                </c:pt>
                <c:pt idx="63">
                  <c:v>45047</c:v>
                </c:pt>
                <c:pt idx="64">
                  <c:v>45078</c:v>
                </c:pt>
                <c:pt idx="65">
                  <c:v>45108</c:v>
                </c:pt>
                <c:pt idx="66">
                  <c:v>45139</c:v>
                </c:pt>
                <c:pt idx="67">
                  <c:v>45170</c:v>
                </c:pt>
                <c:pt idx="68">
                  <c:v>45200</c:v>
                </c:pt>
                <c:pt idx="69">
                  <c:v>45231</c:v>
                </c:pt>
                <c:pt idx="70">
                  <c:v>45261</c:v>
                </c:pt>
                <c:pt idx="71">
                  <c:v>45292</c:v>
                </c:pt>
                <c:pt idx="72">
                  <c:v>45323</c:v>
                </c:pt>
                <c:pt idx="73">
                  <c:v>45352</c:v>
                </c:pt>
                <c:pt idx="74">
                  <c:v>45383</c:v>
                </c:pt>
                <c:pt idx="75">
                  <c:v>45413</c:v>
                </c:pt>
                <c:pt idx="76">
                  <c:v>45444</c:v>
                </c:pt>
                <c:pt idx="77">
                  <c:v>45474</c:v>
                </c:pt>
                <c:pt idx="78">
                  <c:v>45505</c:v>
                </c:pt>
                <c:pt idx="79">
                  <c:v>45536</c:v>
                </c:pt>
                <c:pt idx="80">
                  <c:v>45566</c:v>
                </c:pt>
                <c:pt idx="81">
                  <c:v>45597</c:v>
                </c:pt>
                <c:pt idx="82">
                  <c:v>45627</c:v>
                </c:pt>
                <c:pt idx="83">
                  <c:v>45658</c:v>
                </c:pt>
                <c:pt idx="84">
                  <c:v>45689</c:v>
                </c:pt>
                <c:pt idx="85">
                  <c:v>45717</c:v>
                </c:pt>
                <c:pt idx="86">
                  <c:v>45748</c:v>
                </c:pt>
                <c:pt idx="87">
                  <c:v>45778</c:v>
                </c:pt>
                <c:pt idx="88">
                  <c:v>45809</c:v>
                </c:pt>
                <c:pt idx="89">
                  <c:v>45839</c:v>
                </c:pt>
                <c:pt idx="90">
                  <c:v>45870</c:v>
                </c:pt>
                <c:pt idx="91">
                  <c:v>45901</c:v>
                </c:pt>
                <c:pt idx="92">
                  <c:v>45931</c:v>
                </c:pt>
                <c:pt idx="93">
                  <c:v>45962</c:v>
                </c:pt>
                <c:pt idx="94">
                  <c:v>45992</c:v>
                </c:pt>
                <c:pt idx="95">
                  <c:v>46023</c:v>
                </c:pt>
                <c:pt idx="96">
                  <c:v>46054</c:v>
                </c:pt>
                <c:pt idx="97">
                  <c:v>46082</c:v>
                </c:pt>
                <c:pt idx="98">
                  <c:v>46113</c:v>
                </c:pt>
                <c:pt idx="99">
                  <c:v>46143</c:v>
                </c:pt>
                <c:pt idx="100">
                  <c:v>46174</c:v>
                </c:pt>
                <c:pt idx="101">
                  <c:v>46204</c:v>
                </c:pt>
                <c:pt idx="102">
                  <c:v>46235</c:v>
                </c:pt>
                <c:pt idx="103">
                  <c:v>46266</c:v>
                </c:pt>
                <c:pt idx="104">
                  <c:v>46296</c:v>
                </c:pt>
                <c:pt idx="105">
                  <c:v>46327</c:v>
                </c:pt>
                <c:pt idx="106">
                  <c:v>46357</c:v>
                </c:pt>
                <c:pt idx="107">
                  <c:v>46388</c:v>
                </c:pt>
                <c:pt idx="108">
                  <c:v>46419</c:v>
                </c:pt>
                <c:pt idx="109">
                  <c:v>46447</c:v>
                </c:pt>
                <c:pt idx="110">
                  <c:v>46478</c:v>
                </c:pt>
                <c:pt idx="111">
                  <c:v>46508</c:v>
                </c:pt>
                <c:pt idx="112">
                  <c:v>46539</c:v>
                </c:pt>
                <c:pt idx="113">
                  <c:v>46569</c:v>
                </c:pt>
                <c:pt idx="114">
                  <c:v>46600</c:v>
                </c:pt>
                <c:pt idx="115">
                  <c:v>46631</c:v>
                </c:pt>
                <c:pt idx="116">
                  <c:v>46661</c:v>
                </c:pt>
                <c:pt idx="117">
                  <c:v>46692</c:v>
                </c:pt>
                <c:pt idx="118">
                  <c:v>46722</c:v>
                </c:pt>
                <c:pt idx="119">
                  <c:v>46753</c:v>
                </c:pt>
                <c:pt idx="120">
                  <c:v>46784</c:v>
                </c:pt>
                <c:pt idx="121">
                  <c:v>46813</c:v>
                </c:pt>
                <c:pt idx="122">
                  <c:v>46844</c:v>
                </c:pt>
                <c:pt idx="123">
                  <c:v>46874</c:v>
                </c:pt>
                <c:pt idx="124">
                  <c:v>46905</c:v>
                </c:pt>
                <c:pt idx="125">
                  <c:v>46935</c:v>
                </c:pt>
                <c:pt idx="126">
                  <c:v>46966</c:v>
                </c:pt>
                <c:pt idx="127">
                  <c:v>46997</c:v>
                </c:pt>
                <c:pt idx="128">
                  <c:v>47027</c:v>
                </c:pt>
                <c:pt idx="129">
                  <c:v>47058</c:v>
                </c:pt>
                <c:pt idx="130">
                  <c:v>47088</c:v>
                </c:pt>
                <c:pt idx="131">
                  <c:v>47119</c:v>
                </c:pt>
                <c:pt idx="132">
                  <c:v>47150</c:v>
                </c:pt>
                <c:pt idx="133">
                  <c:v>47178</c:v>
                </c:pt>
                <c:pt idx="134">
                  <c:v>47209</c:v>
                </c:pt>
                <c:pt idx="135">
                  <c:v>47239</c:v>
                </c:pt>
                <c:pt idx="136">
                  <c:v>47270</c:v>
                </c:pt>
                <c:pt idx="137">
                  <c:v>47300</c:v>
                </c:pt>
                <c:pt idx="138">
                  <c:v>47331</c:v>
                </c:pt>
                <c:pt idx="139">
                  <c:v>47362</c:v>
                </c:pt>
                <c:pt idx="140">
                  <c:v>47392</c:v>
                </c:pt>
                <c:pt idx="141">
                  <c:v>47423</c:v>
                </c:pt>
                <c:pt idx="142">
                  <c:v>47453</c:v>
                </c:pt>
                <c:pt idx="143">
                  <c:v>47484</c:v>
                </c:pt>
                <c:pt idx="144">
                  <c:v>47515</c:v>
                </c:pt>
                <c:pt idx="145">
                  <c:v>47543</c:v>
                </c:pt>
                <c:pt idx="146">
                  <c:v>47574</c:v>
                </c:pt>
                <c:pt idx="147">
                  <c:v>47604</c:v>
                </c:pt>
                <c:pt idx="148">
                  <c:v>47635</c:v>
                </c:pt>
                <c:pt idx="149">
                  <c:v>47665</c:v>
                </c:pt>
                <c:pt idx="150">
                  <c:v>47696</c:v>
                </c:pt>
                <c:pt idx="151">
                  <c:v>47727</c:v>
                </c:pt>
                <c:pt idx="152">
                  <c:v>47757</c:v>
                </c:pt>
                <c:pt idx="153">
                  <c:v>47788</c:v>
                </c:pt>
                <c:pt idx="154">
                  <c:v>47818</c:v>
                </c:pt>
              </c:numCache>
            </c:numRef>
          </c:cat>
          <c:val>
            <c:numRef>
              <c:f>(관리비_Kenneth!$C$4:$C$51,관리비_Kenneth!$C$60:$C$170)</c:f>
              <c:numCache>
                <c:formatCode>#,##0_ ;[Red]\-#,##0\ </c:formatCode>
                <c:ptCount val="159"/>
                <c:pt idx="2">
                  <c:v>160970</c:v>
                </c:pt>
                <c:pt idx="3">
                  <c:v>156020</c:v>
                </c:pt>
                <c:pt idx="4">
                  <c:v>142750</c:v>
                </c:pt>
                <c:pt idx="5">
                  <c:v>133740</c:v>
                </c:pt>
                <c:pt idx="6">
                  <c:v>136380</c:v>
                </c:pt>
                <c:pt idx="7">
                  <c:v>143210</c:v>
                </c:pt>
                <c:pt idx="8">
                  <c:v>130260</c:v>
                </c:pt>
                <c:pt idx="9">
                  <c:v>139050</c:v>
                </c:pt>
                <c:pt idx="10">
                  <c:v>189170</c:v>
                </c:pt>
                <c:pt idx="11">
                  <c:v>195900</c:v>
                </c:pt>
                <c:pt idx="12">
                  <c:v>225630</c:v>
                </c:pt>
                <c:pt idx="13">
                  <c:v>216490</c:v>
                </c:pt>
                <c:pt idx="14">
                  <c:v>189890</c:v>
                </c:pt>
                <c:pt idx="15">
                  <c:v>171620</c:v>
                </c:pt>
                <c:pt idx="16">
                  <c:v>152450</c:v>
                </c:pt>
                <c:pt idx="17">
                  <c:v>126770</c:v>
                </c:pt>
                <c:pt idx="18">
                  <c:v>131270</c:v>
                </c:pt>
                <c:pt idx="19">
                  <c:v>134150</c:v>
                </c:pt>
                <c:pt idx="20">
                  <c:v>138530</c:v>
                </c:pt>
                <c:pt idx="21">
                  <c:v>138610</c:v>
                </c:pt>
                <c:pt idx="22">
                  <c:v>159550</c:v>
                </c:pt>
                <c:pt idx="23">
                  <c:v>194700</c:v>
                </c:pt>
                <c:pt idx="24">
                  <c:v>188600</c:v>
                </c:pt>
                <c:pt idx="25">
                  <c:v>208020</c:v>
                </c:pt>
                <c:pt idx="26">
                  <c:v>207150</c:v>
                </c:pt>
                <c:pt idx="27">
                  <c:v>188980</c:v>
                </c:pt>
                <c:pt idx="28">
                  <c:v>170290</c:v>
                </c:pt>
                <c:pt idx="29">
                  <c:v>150100</c:v>
                </c:pt>
                <c:pt idx="30">
                  <c:v>150910</c:v>
                </c:pt>
                <c:pt idx="31">
                  <c:v>148570</c:v>
                </c:pt>
                <c:pt idx="32">
                  <c:v>155740</c:v>
                </c:pt>
                <c:pt idx="33">
                  <c:v>136780</c:v>
                </c:pt>
                <c:pt idx="34">
                  <c:v>171520</c:v>
                </c:pt>
                <c:pt idx="35">
                  <c:v>198980</c:v>
                </c:pt>
                <c:pt idx="36">
                  <c:v>229500</c:v>
                </c:pt>
                <c:pt idx="37">
                  <c:v>202280</c:v>
                </c:pt>
                <c:pt idx="38">
                  <c:v>172940</c:v>
                </c:pt>
                <c:pt idx="39">
                  <c:v>165010</c:v>
                </c:pt>
                <c:pt idx="40">
                  <c:v>165680</c:v>
                </c:pt>
                <c:pt idx="41">
                  <c:v>146080</c:v>
                </c:pt>
                <c:pt idx="42">
                  <c:v>169080</c:v>
                </c:pt>
                <c:pt idx="43">
                  <c:v>142750</c:v>
                </c:pt>
                <c:pt idx="44">
                  <c:v>157460</c:v>
                </c:pt>
                <c:pt idx="45">
                  <c:v>152520</c:v>
                </c:pt>
                <c:pt idx="46">
                  <c:v>165100</c:v>
                </c:pt>
                <c:pt idx="47">
                  <c:v>105390</c:v>
                </c:pt>
                <c:pt idx="48" formatCode="#,##0_);[Red]\(#,##0\)">
                  <c:v>244880</c:v>
                </c:pt>
                <c:pt idx="49" formatCode="#,##0_);[Red]\(#,##0\)">
                  <c:v>232600</c:v>
                </c:pt>
                <c:pt idx="50" formatCode="#,##0_);[Red]\(#,##0\)">
                  <c:v>189760</c:v>
                </c:pt>
                <c:pt idx="51" formatCode="#,##0_);[Red]\(#,##0\)">
                  <c:v>153270</c:v>
                </c:pt>
                <c:pt idx="52" formatCode="#,##0_);[Red]\(#,##0\)">
                  <c:v>137000</c:v>
                </c:pt>
                <c:pt idx="53" formatCode="#,##0_);[Red]\(#,##0\)">
                  <c:v>134210</c:v>
                </c:pt>
                <c:pt idx="54" formatCode="#,##0_);[Red]\(#,##0\)">
                  <c:v>149570</c:v>
                </c:pt>
                <c:pt idx="55" formatCode="#,##0_);[Red]\(#,##0\)">
                  <c:v>155680</c:v>
                </c:pt>
                <c:pt idx="56" formatCode="#,##0_);[Red]\(#,##0\)">
                  <c:v>151930</c:v>
                </c:pt>
                <c:pt idx="57" formatCode="#,##0_);[Red]\(#,##0\)">
                  <c:v>148410</c:v>
                </c:pt>
                <c:pt idx="58" formatCode="#,##0_);[Red]\(#,##0\)">
                  <c:v>189100</c:v>
                </c:pt>
                <c:pt idx="59" formatCode="#,##0_);[Red]\(#,##0\)">
                  <c:v>279230</c:v>
                </c:pt>
                <c:pt idx="60" formatCode="#,##0_);[Red]\(#,##0\)">
                  <c:v>304540</c:v>
                </c:pt>
                <c:pt idx="61" formatCode="#,##0_);[Red]\(#,##0\)">
                  <c:v>244930</c:v>
                </c:pt>
                <c:pt idx="62" formatCode="#,##0_);[Red]\(#,##0\)">
                  <c:v>189450</c:v>
                </c:pt>
                <c:pt idx="63" formatCode="#,##0_);[Red]\(#,##0\)">
                  <c:v>161150</c:v>
                </c:pt>
                <c:pt idx="64" formatCode="#,##0_);[Red]\(#,##0\)">
                  <c:v>149580</c:v>
                </c:pt>
                <c:pt idx="65" formatCode="#,##0_);[Red]\(#,##0\)">
                  <c:v>149810</c:v>
                </c:pt>
                <c:pt idx="66" formatCode="#,##0_);[Red]\(#,##0\)">
                  <c:v>159490</c:v>
                </c:pt>
                <c:pt idx="67" formatCode="#,##0_);[Red]\(#,##0\)">
                  <c:v>178150</c:v>
                </c:pt>
                <c:pt idx="68" formatCode="#,##0_);[Red]\(#,##0\)">
                  <c:v>172050</c:v>
                </c:pt>
                <c:pt idx="69" formatCode="#,##0_);[Red]\(#,##0\)">
                  <c:v>164270</c:v>
                </c:pt>
                <c:pt idx="70" formatCode="#,##0_);[Red]\(#,##0\)">
                  <c:v>241350</c:v>
                </c:pt>
                <c:pt idx="71" formatCode="#,##0_);[Red]\(#,##0\)">
                  <c:v>204800</c:v>
                </c:pt>
                <c:pt idx="72" formatCode="#,##0_);[Red]\(#,##0\)">
                  <c:v>269060</c:v>
                </c:pt>
                <c:pt idx="73" formatCode="#,##0_);[Red]\(#,##0\)">
                  <c:v>238910</c:v>
                </c:pt>
                <c:pt idx="74" formatCode="#,##0_);[Red]\(#,##0\)">
                  <c:v>200520</c:v>
                </c:pt>
                <c:pt idx="75" formatCode="#,##0_);[Red]\(#,##0\)">
                  <c:v>178860</c:v>
                </c:pt>
                <c:pt idx="76" formatCode="#,##0_);[Red]\(#,##0\)">
                  <c:v>158700</c:v>
                </c:pt>
                <c:pt idx="77" formatCode="#,##0_);[Red]\(#,##0\)">
                  <c:v>166050</c:v>
                </c:pt>
                <c:pt idx="78" formatCode="#,##0_);[Red]\(#,##0\)">
                  <c:v>174550</c:v>
                </c:pt>
                <c:pt idx="79" formatCode="#,##0_);[Red]\(#,##0\)">
                  <c:v>190910</c:v>
                </c:pt>
                <c:pt idx="80" formatCode="#,##0_);[Red]\(#,##0\)">
                  <c:v>195670</c:v>
                </c:pt>
                <c:pt idx="81" formatCode="#,##0_);[Red]\(#,##0\)">
                  <c:v>193350</c:v>
                </c:pt>
                <c:pt idx="82" formatCode="#,##0_);[Red]\(#,##0\)">
                  <c:v>212290</c:v>
                </c:pt>
                <c:pt idx="83" formatCode="#,##0_);[Red]\(#,##0\)">
                  <c:v>277090</c:v>
                </c:pt>
                <c:pt idx="84" formatCode="#,##0_);[Red]\(#,##0\)">
                  <c:v>329190</c:v>
                </c:pt>
                <c:pt idx="85" formatCode="#,##0_);[Red]\(#,##0\)">
                  <c:v>289250</c:v>
                </c:pt>
                <c:pt idx="86" formatCode="#,##0_);[Red]\(#,##0\)">
                  <c:v>225630</c:v>
                </c:pt>
                <c:pt idx="87" formatCode="#,##0_);[Red]\(#,##0\)">
                  <c:v>184100</c:v>
                </c:pt>
                <c:pt idx="88" formatCode="#,##0_);[Red]\(#,##0\)">
                  <c:v>169520</c:v>
                </c:pt>
                <c:pt idx="89" formatCode="#,##0_);[Red]\(#,##0\)">
                  <c:v>177120</c:v>
                </c:pt>
                <c:pt idx="90" formatCode="#,##0_);[Red]\(#,##0\)">
                  <c:v>191100</c:v>
                </c:pt>
                <c:pt idx="91" formatCode="#,##0_);[Red]\(#,##0\)">
                  <c:v>204510</c:v>
                </c:pt>
                <c:pt idx="92" formatCode="#,##0_);[Red]\(#,##0\)">
                  <c:v>198150</c:v>
                </c:pt>
                <c:pt idx="93" formatCode="#,##0_);[Red]\(#,##0\)">
                  <c:v>185550</c:v>
                </c:pt>
                <c:pt idx="94" formatCode="#,##0_);[Red]\(#,##0\)">
                  <c:v>222090</c:v>
                </c:pt>
                <c:pt idx="95" formatCode="#,##0_);[Red]\(#,##0\)">
                  <c:v>266610</c:v>
                </c:pt>
                <c:pt idx="96" formatCode="#,##0_);[Red]\(#,##0\)">
                  <c:v>313170</c:v>
                </c:pt>
                <c:pt idx="97" formatCode="#,##0_);[Red]\(#,##0\)">
                  <c:v>266210</c:v>
                </c:pt>
                <c:pt idx="98" formatCode="#,##0_);[Red]\(#,##0\)">
                  <c:v>224700</c:v>
                </c:pt>
                <c:pt idx="99" formatCode="#,##0_);[Red]\(#,##0\)">
                  <c:v>190080</c:v>
                </c:pt>
                <c:pt idx="100" formatCode="#,##0_);[Red]\(#,##0\)">
                  <c:v>171860</c:v>
                </c:pt>
                <c:pt idx="101" formatCode="#,##0_);[Red]\(#,##0\)">
                  <c:v>179340</c:v>
                </c:pt>
                <c:pt idx="102" formatCode="#,##0_);[Red]\(#,##0\)">
                  <c:v>186290</c:v>
                </c:pt>
                <c:pt idx="103" formatCode="#,##0_);[Red]\(#,##0\)">
                  <c:v>200480</c:v>
                </c:pt>
                <c:pt idx="104" formatCode="#,##0_);[Red]\(#,##0\)">
                  <c:v>205020</c:v>
                </c:pt>
                <c:pt idx="105" formatCode="#,##0_);[Red]\(#,##0\)">
                  <c:v>212895</c:v>
                </c:pt>
                <c:pt idx="106" formatCode="#,##0_);[Red]\(#,##0\)">
                  <c:v>285010</c:v>
                </c:pt>
                <c:pt idx="107" formatCode="#,##0_);[Red]\(#,##0\)">
                  <c:v>316640</c:v>
                </c:pt>
                <c:pt idx="108" formatCode="#,##0_);[Red]\(#,##0\)">
                  <c:v>323090</c:v>
                </c:pt>
                <c:pt idx="109" formatCode="#,##0_);[Red]\(#,##0\)">
                  <c:v>302540</c:v>
                </c:pt>
                <c:pt idx="110" formatCode="#,##0_);[Red]\(#,##0\)">
                  <c:v>252690</c:v>
                </c:pt>
                <c:pt idx="111" formatCode="#,##0_);[Red]\(#,##0\)">
                  <c:v>206880</c:v>
                </c:pt>
                <c:pt idx="112" formatCode="#,##0_);[Red]\(#,##0\)">
                  <c:v>189380</c:v>
                </c:pt>
                <c:pt idx="113" formatCode="#,##0_);[Red]\(#,##0\)">
                  <c:v>186570</c:v>
                </c:pt>
                <c:pt idx="114" formatCode="#,##0_);[Red]\(#,##0\)">
                  <c:v>196510</c:v>
                </c:pt>
                <c:pt idx="115" formatCode="#,##0_);[Red]\(#,##0\)">
                  <c:v>214940</c:v>
                </c:pt>
                <c:pt idx="116" formatCode="#,##0_);[Red]\(#,##0\)">
                  <c:v>221010</c:v>
                </c:pt>
                <c:pt idx="117" formatCode="#,##0_);[Red]\(#,##0\)">
                  <c:v>221130</c:v>
                </c:pt>
                <c:pt idx="118" formatCode="#,##0_);[Red]\(#,##0\)">
                  <c:v>240810</c:v>
                </c:pt>
                <c:pt idx="119" formatCode="#,##0_);[Red]\(#,##0\)">
                  <c:v>319790</c:v>
                </c:pt>
                <c:pt idx="120" formatCode="#,##0_);[Red]\(#,##0\)">
                  <c:v>326290</c:v>
                </c:pt>
                <c:pt idx="121" formatCode="#,##0_);[Red]\(#,##0\)">
                  <c:v>305530</c:v>
                </c:pt>
                <c:pt idx="122" formatCode="#,##0_);[Red]\(#,##0\)">
                  <c:v>255190</c:v>
                </c:pt>
                <c:pt idx="123" formatCode="#,##0_);[Red]\(#,##0\)">
                  <c:v>208930</c:v>
                </c:pt>
                <c:pt idx="124" formatCode="#,##0_);[Red]\(#,##0\)">
                  <c:v>191260</c:v>
                </c:pt>
                <c:pt idx="125" formatCode="#,##0_);[Red]\(#,##0\)">
                  <c:v>188430</c:v>
                </c:pt>
                <c:pt idx="126" formatCode="#,##0_);[Red]\(#,##0\)">
                  <c:v>198460</c:v>
                </c:pt>
                <c:pt idx="127" formatCode="#,##0_);[Red]\(#,##0\)">
                  <c:v>217080</c:v>
                </c:pt>
                <c:pt idx="128" formatCode="#,##0_);[Red]\(#,##0\)">
                  <c:v>223210</c:v>
                </c:pt>
                <c:pt idx="129" formatCode="#,##0_);[Red]\(#,##0\)">
                  <c:v>223330</c:v>
                </c:pt>
                <c:pt idx="130" formatCode="#,##0_);[Red]\(#,##0\)">
                  <c:v>243190</c:v>
                </c:pt>
                <c:pt idx="131" formatCode="#,##0_);[Red]\(#,##0\)">
                  <c:v>331700</c:v>
                </c:pt>
                <c:pt idx="132" formatCode="#,##0_);[Red]\(#,##0\)">
                  <c:v>338250</c:v>
                </c:pt>
                <c:pt idx="133" formatCode="#,##0_);[Red]\(#,##0\)">
                  <c:v>317290</c:v>
                </c:pt>
                <c:pt idx="134" formatCode="#,##0_);[Red]\(#,##0\)">
                  <c:v>266460</c:v>
                </c:pt>
                <c:pt idx="135" formatCode="#,##0_);[Red]\(#,##0\)">
                  <c:v>219750</c:v>
                </c:pt>
                <c:pt idx="136" formatCode="#,##0_);[Red]\(#,##0\)">
                  <c:v>201910</c:v>
                </c:pt>
                <c:pt idx="137" formatCode="#,##0_);[Red]\(#,##0\)">
                  <c:v>199060</c:v>
                </c:pt>
                <c:pt idx="138" formatCode="#,##0_);[Red]\(#,##0\)">
                  <c:v>209180</c:v>
                </c:pt>
                <c:pt idx="139" formatCode="#,##0_);[Red]\(#,##0\)">
                  <c:v>227990</c:v>
                </c:pt>
                <c:pt idx="140" formatCode="#,##0_);[Red]\(#,##0\)">
                  <c:v>234170</c:v>
                </c:pt>
                <c:pt idx="141" formatCode="#,##0_);[Red]\(#,##0\)">
                  <c:v>234300</c:v>
                </c:pt>
                <c:pt idx="142" formatCode="#,##0_);[Red]\(#,##0\)">
                  <c:v>254350</c:v>
                </c:pt>
                <c:pt idx="143" formatCode="#,##0_);[Red]\(#,##0\)">
                  <c:v>334890</c:v>
                </c:pt>
                <c:pt idx="144" formatCode="#,##0_);[Red]\(#,##0\)">
                  <c:v>341480</c:v>
                </c:pt>
                <c:pt idx="145" formatCode="#,##0_);[Red]\(#,##0\)">
                  <c:v>320330</c:v>
                </c:pt>
                <c:pt idx="146" formatCode="#,##0_);[Red]\(#,##0\)">
                  <c:v>269000</c:v>
                </c:pt>
                <c:pt idx="147" formatCode="#,##0_);[Red]\(#,##0\)">
                  <c:v>221850</c:v>
                </c:pt>
                <c:pt idx="148" formatCode="#,##0_);[Red]\(#,##0\)">
                  <c:v>203830</c:v>
                </c:pt>
                <c:pt idx="149" formatCode="#,##0_);[Red]\(#,##0\)">
                  <c:v>200960</c:v>
                </c:pt>
                <c:pt idx="150" formatCode="#,##0_);[Red]\(#,##0\)">
                  <c:v>211170</c:v>
                </c:pt>
                <c:pt idx="151" formatCode="#,##0_);[Red]\(#,##0\)">
                  <c:v>230180</c:v>
                </c:pt>
                <c:pt idx="152" formatCode="#,##0_);[Red]\(#,##0\)">
                  <c:v>236430</c:v>
                </c:pt>
                <c:pt idx="153" formatCode="#,##0_);[Red]\(#,##0\)">
                  <c:v>236550</c:v>
                </c:pt>
                <c:pt idx="154" formatCode="#,##0_);[Red]\(#,##0\)">
                  <c:v>256780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DB-42D6-92FF-AA7E26D0B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446344"/>
        <c:axId val="506448696"/>
      </c:lineChart>
      <c:lineChart>
        <c:grouping val="standard"/>
        <c:varyColors val="0"/>
        <c:ser>
          <c:idx val="0"/>
          <c:order val="0"/>
          <c:tx>
            <c:v>전기료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trendline>
            <c:spPr>
              <a:ln>
                <a:solidFill>
                  <a:schemeClr val="accent4"/>
                </a:solidFill>
                <a:prstDash val="dash"/>
              </a:ln>
            </c:spPr>
            <c:trendlineType val="exp"/>
            <c:dispRSqr val="0"/>
            <c:dispEq val="0"/>
          </c:trendline>
          <c:cat>
            <c:numRef>
              <c:f>(관리비_Kenneth!$A$4:$A$51,관리비_Kenneth!$A$60:$A$169)</c:f>
              <c:numCache>
                <c:formatCode>yyyy/mm</c:formatCode>
                <c:ptCount val="158"/>
                <c:pt idx="0">
                  <c:v>43132</c:v>
                </c:pt>
                <c:pt idx="1">
                  <c:v>43160</c:v>
                </c:pt>
                <c:pt idx="2">
                  <c:v>43191</c:v>
                </c:pt>
                <c:pt idx="3">
                  <c:v>43221</c:v>
                </c:pt>
                <c:pt idx="4">
                  <c:v>43252</c:v>
                </c:pt>
                <c:pt idx="5">
                  <c:v>43282</c:v>
                </c:pt>
                <c:pt idx="6">
                  <c:v>43313</c:v>
                </c:pt>
                <c:pt idx="7">
                  <c:v>43344</c:v>
                </c:pt>
                <c:pt idx="8">
                  <c:v>43374</c:v>
                </c:pt>
                <c:pt idx="9">
                  <c:v>43405</c:v>
                </c:pt>
                <c:pt idx="10">
                  <c:v>43435</c:v>
                </c:pt>
                <c:pt idx="11">
                  <c:v>43466</c:v>
                </c:pt>
                <c:pt idx="12">
                  <c:v>43497</c:v>
                </c:pt>
                <c:pt idx="13">
                  <c:v>43525</c:v>
                </c:pt>
                <c:pt idx="14">
                  <c:v>43556</c:v>
                </c:pt>
                <c:pt idx="15">
                  <c:v>43586</c:v>
                </c:pt>
                <c:pt idx="16">
                  <c:v>43617</c:v>
                </c:pt>
                <c:pt idx="17">
                  <c:v>43647</c:v>
                </c:pt>
                <c:pt idx="18">
                  <c:v>43678</c:v>
                </c:pt>
                <c:pt idx="19">
                  <c:v>43709</c:v>
                </c:pt>
                <c:pt idx="20">
                  <c:v>43739</c:v>
                </c:pt>
                <c:pt idx="21">
                  <c:v>43770</c:v>
                </c:pt>
                <c:pt idx="22">
                  <c:v>43800</c:v>
                </c:pt>
                <c:pt idx="23">
                  <c:v>43831</c:v>
                </c:pt>
                <c:pt idx="24">
                  <c:v>43862</c:v>
                </c:pt>
                <c:pt idx="25">
                  <c:v>43891</c:v>
                </c:pt>
                <c:pt idx="26">
                  <c:v>43922</c:v>
                </c:pt>
                <c:pt idx="27">
                  <c:v>43952</c:v>
                </c:pt>
                <c:pt idx="28">
                  <c:v>43983</c:v>
                </c:pt>
                <c:pt idx="29">
                  <c:v>44013</c:v>
                </c:pt>
                <c:pt idx="30">
                  <c:v>44044</c:v>
                </c:pt>
                <c:pt idx="31">
                  <c:v>44075</c:v>
                </c:pt>
                <c:pt idx="32">
                  <c:v>44105</c:v>
                </c:pt>
                <c:pt idx="33">
                  <c:v>44136</c:v>
                </c:pt>
                <c:pt idx="34">
                  <c:v>44166</c:v>
                </c:pt>
                <c:pt idx="35">
                  <c:v>44197</c:v>
                </c:pt>
                <c:pt idx="36">
                  <c:v>44228</c:v>
                </c:pt>
                <c:pt idx="37">
                  <c:v>44256</c:v>
                </c:pt>
                <c:pt idx="38">
                  <c:v>44287</c:v>
                </c:pt>
                <c:pt idx="39">
                  <c:v>44317</c:v>
                </c:pt>
                <c:pt idx="40">
                  <c:v>44348</c:v>
                </c:pt>
                <c:pt idx="41">
                  <c:v>44378</c:v>
                </c:pt>
                <c:pt idx="42">
                  <c:v>44409</c:v>
                </c:pt>
                <c:pt idx="43">
                  <c:v>44440</c:v>
                </c:pt>
                <c:pt idx="44">
                  <c:v>44470</c:v>
                </c:pt>
                <c:pt idx="45">
                  <c:v>44501</c:v>
                </c:pt>
                <c:pt idx="46">
                  <c:v>44531</c:v>
                </c:pt>
                <c:pt idx="47">
                  <c:v>44562</c:v>
                </c:pt>
                <c:pt idx="48">
                  <c:v>44593</c:v>
                </c:pt>
                <c:pt idx="49">
                  <c:v>44621</c:v>
                </c:pt>
                <c:pt idx="50">
                  <c:v>44652</c:v>
                </c:pt>
                <c:pt idx="51">
                  <c:v>44682</c:v>
                </c:pt>
                <c:pt idx="52">
                  <c:v>44713</c:v>
                </c:pt>
                <c:pt idx="53">
                  <c:v>44743</c:v>
                </c:pt>
                <c:pt idx="54">
                  <c:v>44774</c:v>
                </c:pt>
                <c:pt idx="55">
                  <c:v>44805</c:v>
                </c:pt>
                <c:pt idx="56">
                  <c:v>44835</c:v>
                </c:pt>
                <c:pt idx="57">
                  <c:v>44866</c:v>
                </c:pt>
                <c:pt idx="58">
                  <c:v>44896</c:v>
                </c:pt>
                <c:pt idx="59">
                  <c:v>44927</c:v>
                </c:pt>
                <c:pt idx="60">
                  <c:v>44958</c:v>
                </c:pt>
                <c:pt idx="61">
                  <c:v>44986</c:v>
                </c:pt>
                <c:pt idx="62">
                  <c:v>45017</c:v>
                </c:pt>
                <c:pt idx="63">
                  <c:v>45047</c:v>
                </c:pt>
                <c:pt idx="64">
                  <c:v>45078</c:v>
                </c:pt>
                <c:pt idx="65">
                  <c:v>45108</c:v>
                </c:pt>
                <c:pt idx="66">
                  <c:v>45139</c:v>
                </c:pt>
                <c:pt idx="67">
                  <c:v>45170</c:v>
                </c:pt>
                <c:pt idx="68">
                  <c:v>45200</c:v>
                </c:pt>
                <c:pt idx="69">
                  <c:v>45231</c:v>
                </c:pt>
                <c:pt idx="70">
                  <c:v>45261</c:v>
                </c:pt>
                <c:pt idx="71">
                  <c:v>45292</c:v>
                </c:pt>
                <c:pt idx="72">
                  <c:v>45323</c:v>
                </c:pt>
                <c:pt idx="73">
                  <c:v>45352</c:v>
                </c:pt>
                <c:pt idx="74">
                  <c:v>45383</c:v>
                </c:pt>
                <c:pt idx="75">
                  <c:v>45413</c:v>
                </c:pt>
                <c:pt idx="76">
                  <c:v>45444</c:v>
                </c:pt>
                <c:pt idx="77">
                  <c:v>45474</c:v>
                </c:pt>
                <c:pt idx="78">
                  <c:v>45505</c:v>
                </c:pt>
                <c:pt idx="79">
                  <c:v>45536</c:v>
                </c:pt>
                <c:pt idx="80">
                  <c:v>45566</c:v>
                </c:pt>
                <c:pt idx="81">
                  <c:v>45597</c:v>
                </c:pt>
                <c:pt idx="82">
                  <c:v>45627</c:v>
                </c:pt>
                <c:pt idx="83">
                  <c:v>45658</c:v>
                </c:pt>
                <c:pt idx="84">
                  <c:v>45689</c:v>
                </c:pt>
                <c:pt idx="85">
                  <c:v>45717</c:v>
                </c:pt>
                <c:pt idx="86">
                  <c:v>45748</c:v>
                </c:pt>
                <c:pt idx="87">
                  <c:v>45778</c:v>
                </c:pt>
                <c:pt idx="88">
                  <c:v>45809</c:v>
                </c:pt>
                <c:pt idx="89">
                  <c:v>45839</c:v>
                </c:pt>
                <c:pt idx="90">
                  <c:v>45870</c:v>
                </c:pt>
                <c:pt idx="91">
                  <c:v>45901</c:v>
                </c:pt>
                <c:pt idx="92">
                  <c:v>45931</c:v>
                </c:pt>
                <c:pt idx="93">
                  <c:v>45962</c:v>
                </c:pt>
                <c:pt idx="94">
                  <c:v>45992</c:v>
                </c:pt>
                <c:pt idx="95">
                  <c:v>46023</c:v>
                </c:pt>
                <c:pt idx="96">
                  <c:v>46054</c:v>
                </c:pt>
                <c:pt idx="97">
                  <c:v>46082</c:v>
                </c:pt>
                <c:pt idx="98">
                  <c:v>46113</c:v>
                </c:pt>
                <c:pt idx="99">
                  <c:v>46143</c:v>
                </c:pt>
                <c:pt idx="100">
                  <c:v>46174</c:v>
                </c:pt>
                <c:pt idx="101">
                  <c:v>46204</c:v>
                </c:pt>
                <c:pt idx="102">
                  <c:v>46235</c:v>
                </c:pt>
                <c:pt idx="103">
                  <c:v>46266</c:v>
                </c:pt>
                <c:pt idx="104">
                  <c:v>46296</c:v>
                </c:pt>
                <c:pt idx="105">
                  <c:v>46327</c:v>
                </c:pt>
                <c:pt idx="106">
                  <c:v>46357</c:v>
                </c:pt>
                <c:pt idx="107">
                  <c:v>46388</c:v>
                </c:pt>
                <c:pt idx="108">
                  <c:v>46419</c:v>
                </c:pt>
                <c:pt idx="109">
                  <c:v>46447</c:v>
                </c:pt>
                <c:pt idx="110">
                  <c:v>46478</c:v>
                </c:pt>
                <c:pt idx="111">
                  <c:v>46508</c:v>
                </c:pt>
                <c:pt idx="112">
                  <c:v>46539</c:v>
                </c:pt>
                <c:pt idx="113">
                  <c:v>46569</c:v>
                </c:pt>
                <c:pt idx="114">
                  <c:v>46600</c:v>
                </c:pt>
                <c:pt idx="115">
                  <c:v>46631</c:v>
                </c:pt>
                <c:pt idx="116">
                  <c:v>46661</c:v>
                </c:pt>
                <c:pt idx="117">
                  <c:v>46692</c:v>
                </c:pt>
                <c:pt idx="118">
                  <c:v>46722</c:v>
                </c:pt>
                <c:pt idx="119">
                  <c:v>46753</c:v>
                </c:pt>
                <c:pt idx="120">
                  <c:v>46784</c:v>
                </c:pt>
                <c:pt idx="121">
                  <c:v>46813</c:v>
                </c:pt>
                <c:pt idx="122">
                  <c:v>46844</c:v>
                </c:pt>
                <c:pt idx="123">
                  <c:v>46874</c:v>
                </c:pt>
                <c:pt idx="124">
                  <c:v>46905</c:v>
                </c:pt>
                <c:pt idx="125">
                  <c:v>46935</c:v>
                </c:pt>
                <c:pt idx="126">
                  <c:v>46966</c:v>
                </c:pt>
                <c:pt idx="127">
                  <c:v>46997</c:v>
                </c:pt>
                <c:pt idx="128">
                  <c:v>47027</c:v>
                </c:pt>
                <c:pt idx="129">
                  <c:v>47058</c:v>
                </c:pt>
                <c:pt idx="130">
                  <c:v>47088</c:v>
                </c:pt>
                <c:pt idx="131">
                  <c:v>47119</c:v>
                </c:pt>
                <c:pt idx="132">
                  <c:v>47150</c:v>
                </c:pt>
                <c:pt idx="133">
                  <c:v>47178</c:v>
                </c:pt>
                <c:pt idx="134">
                  <c:v>47209</c:v>
                </c:pt>
                <c:pt idx="135">
                  <c:v>47239</c:v>
                </c:pt>
                <c:pt idx="136">
                  <c:v>47270</c:v>
                </c:pt>
                <c:pt idx="137">
                  <c:v>47300</c:v>
                </c:pt>
                <c:pt idx="138">
                  <c:v>47331</c:v>
                </c:pt>
                <c:pt idx="139">
                  <c:v>47362</c:v>
                </c:pt>
                <c:pt idx="140">
                  <c:v>47392</c:v>
                </c:pt>
                <c:pt idx="141">
                  <c:v>47423</c:v>
                </c:pt>
                <c:pt idx="142">
                  <c:v>47453</c:v>
                </c:pt>
                <c:pt idx="143">
                  <c:v>47484</c:v>
                </c:pt>
                <c:pt idx="144">
                  <c:v>47515</c:v>
                </c:pt>
                <c:pt idx="145">
                  <c:v>47543</c:v>
                </c:pt>
                <c:pt idx="146">
                  <c:v>47574</c:v>
                </c:pt>
                <c:pt idx="147">
                  <c:v>47604</c:v>
                </c:pt>
                <c:pt idx="148">
                  <c:v>47635</c:v>
                </c:pt>
                <c:pt idx="149">
                  <c:v>47665</c:v>
                </c:pt>
                <c:pt idx="150">
                  <c:v>47696</c:v>
                </c:pt>
                <c:pt idx="151">
                  <c:v>47727</c:v>
                </c:pt>
                <c:pt idx="152">
                  <c:v>47757</c:v>
                </c:pt>
                <c:pt idx="153">
                  <c:v>47788</c:v>
                </c:pt>
                <c:pt idx="154">
                  <c:v>47818</c:v>
                </c:pt>
              </c:numCache>
            </c:numRef>
          </c:cat>
          <c:val>
            <c:numRef>
              <c:f>(관리비_Kenneth!$P$4:$P$51,관리비_Kenneth!$P$60:$P$170)</c:f>
              <c:numCache>
                <c:formatCode>#,##0_ ;[Red]\-#,##0\ </c:formatCode>
                <c:ptCount val="159"/>
                <c:pt idx="2">
                  <c:v>11040</c:v>
                </c:pt>
                <c:pt idx="3">
                  <c:v>15050</c:v>
                </c:pt>
                <c:pt idx="4">
                  <c:v>11720</c:v>
                </c:pt>
                <c:pt idx="5">
                  <c:v>14330</c:v>
                </c:pt>
                <c:pt idx="6">
                  <c:v>12880</c:v>
                </c:pt>
                <c:pt idx="7">
                  <c:v>40570</c:v>
                </c:pt>
                <c:pt idx="8">
                  <c:v>15290</c:v>
                </c:pt>
                <c:pt idx="9">
                  <c:v>15780</c:v>
                </c:pt>
                <c:pt idx="10">
                  <c:v>21070</c:v>
                </c:pt>
                <c:pt idx="11">
                  <c:v>19900</c:v>
                </c:pt>
                <c:pt idx="12">
                  <c:v>26930</c:v>
                </c:pt>
                <c:pt idx="13">
                  <c:v>22070</c:v>
                </c:pt>
                <c:pt idx="14">
                  <c:v>13200</c:v>
                </c:pt>
                <c:pt idx="15">
                  <c:v>14180</c:v>
                </c:pt>
                <c:pt idx="16">
                  <c:v>10530</c:v>
                </c:pt>
                <c:pt idx="17">
                  <c:v>11070</c:v>
                </c:pt>
                <c:pt idx="18">
                  <c:v>11330</c:v>
                </c:pt>
                <c:pt idx="19">
                  <c:v>22720</c:v>
                </c:pt>
                <c:pt idx="20">
                  <c:v>12220</c:v>
                </c:pt>
                <c:pt idx="21">
                  <c:v>9190</c:v>
                </c:pt>
                <c:pt idx="22">
                  <c:v>9100</c:v>
                </c:pt>
                <c:pt idx="23">
                  <c:v>12220</c:v>
                </c:pt>
                <c:pt idx="24">
                  <c:v>14450</c:v>
                </c:pt>
                <c:pt idx="25">
                  <c:v>22070</c:v>
                </c:pt>
                <c:pt idx="26">
                  <c:v>20740</c:v>
                </c:pt>
                <c:pt idx="27">
                  <c:v>19400</c:v>
                </c:pt>
                <c:pt idx="28">
                  <c:v>12840</c:v>
                </c:pt>
                <c:pt idx="29">
                  <c:v>22070</c:v>
                </c:pt>
                <c:pt idx="30">
                  <c:v>12940</c:v>
                </c:pt>
                <c:pt idx="31">
                  <c:v>24060</c:v>
                </c:pt>
                <c:pt idx="32">
                  <c:v>22220</c:v>
                </c:pt>
                <c:pt idx="33">
                  <c:v>11240</c:v>
                </c:pt>
                <c:pt idx="34">
                  <c:v>14540</c:v>
                </c:pt>
                <c:pt idx="35">
                  <c:v>19560</c:v>
                </c:pt>
                <c:pt idx="36">
                  <c:v>23030</c:v>
                </c:pt>
                <c:pt idx="37">
                  <c:v>13880</c:v>
                </c:pt>
                <c:pt idx="38">
                  <c:v>11300</c:v>
                </c:pt>
                <c:pt idx="39">
                  <c:v>12420</c:v>
                </c:pt>
                <c:pt idx="40">
                  <c:v>12680</c:v>
                </c:pt>
                <c:pt idx="41">
                  <c:v>10960</c:v>
                </c:pt>
                <c:pt idx="42">
                  <c:v>20760</c:v>
                </c:pt>
                <c:pt idx="43">
                  <c:v>18450</c:v>
                </c:pt>
                <c:pt idx="44">
                  <c:v>12100</c:v>
                </c:pt>
                <c:pt idx="45">
                  <c:v>14130</c:v>
                </c:pt>
                <c:pt idx="46">
                  <c:v>16630</c:v>
                </c:pt>
                <c:pt idx="47">
                  <c:v>11180</c:v>
                </c:pt>
                <c:pt idx="48" formatCode="#,##0_);[Red]\(#,##0\)">
                  <c:v>39580</c:v>
                </c:pt>
                <c:pt idx="49" formatCode="#,##0_);[Red]\(#,##0\)">
                  <c:v>38320</c:v>
                </c:pt>
                <c:pt idx="50" formatCode="#,##0_);[Red]\(#,##0\)">
                  <c:v>27840</c:v>
                </c:pt>
                <c:pt idx="51" formatCode="#,##0_);[Red]\(#,##0\)">
                  <c:v>24090</c:v>
                </c:pt>
                <c:pt idx="52" formatCode="#,##0_);[Red]\(#,##0\)">
                  <c:v>18280</c:v>
                </c:pt>
                <c:pt idx="53" formatCode="#,##0_);[Red]\(#,##0\)">
                  <c:v>19480</c:v>
                </c:pt>
                <c:pt idx="54" formatCode="#,##0_);[Red]\(#,##0\)">
                  <c:v>31000</c:v>
                </c:pt>
                <c:pt idx="55" formatCode="#,##0_);[Red]\(#,##0\)">
                  <c:v>38550</c:v>
                </c:pt>
                <c:pt idx="56" formatCode="#,##0_);[Red]\(#,##0\)">
                  <c:v>33370</c:v>
                </c:pt>
                <c:pt idx="57" formatCode="#,##0_);[Red]\(#,##0\)">
                  <c:v>23590</c:v>
                </c:pt>
                <c:pt idx="58" formatCode="#,##0_);[Red]\(#,##0\)">
                  <c:v>25410</c:v>
                </c:pt>
                <c:pt idx="59" formatCode="#,##0_);[Red]\(#,##0\)">
                  <c:v>23490</c:v>
                </c:pt>
                <c:pt idx="60" formatCode="#,##0_);[Red]\(#,##0\)">
                  <c:v>35570</c:v>
                </c:pt>
                <c:pt idx="61" formatCode="#,##0_);[Red]\(#,##0\)">
                  <c:v>29390</c:v>
                </c:pt>
                <c:pt idx="62" formatCode="#,##0_);[Red]\(#,##0\)">
                  <c:v>29540</c:v>
                </c:pt>
                <c:pt idx="63" formatCode="#,##0_);[Red]\(#,##0\)">
                  <c:v>27670</c:v>
                </c:pt>
                <c:pt idx="64" formatCode="#,##0_);[Red]\(#,##0\)">
                  <c:v>27810</c:v>
                </c:pt>
                <c:pt idx="65" formatCode="#,##0_);[Red]\(#,##0\)">
                  <c:v>28380</c:v>
                </c:pt>
                <c:pt idx="66" formatCode="#,##0_);[Red]\(#,##0\)">
                  <c:v>39160</c:v>
                </c:pt>
                <c:pt idx="67" formatCode="#,##0_);[Red]\(#,##0\)">
                  <c:v>52140</c:v>
                </c:pt>
                <c:pt idx="68" formatCode="#,##0_);[Red]\(#,##0\)">
                  <c:v>47810</c:v>
                </c:pt>
                <c:pt idx="69" formatCode="#,##0_);[Red]\(#,##0\)">
                  <c:v>38000</c:v>
                </c:pt>
                <c:pt idx="70" formatCode="#,##0_);[Red]\(#,##0\)">
                  <c:v>36500</c:v>
                </c:pt>
                <c:pt idx="71" formatCode="#,##0_);[Red]\(#,##0\)">
                  <c:v>34480</c:v>
                </c:pt>
                <c:pt idx="72" formatCode="#,##0_);[Red]\(#,##0\)">
                  <c:v>16980</c:v>
                </c:pt>
                <c:pt idx="73" formatCode="#,##0_);[Red]\(#,##0\)">
                  <c:v>37590</c:v>
                </c:pt>
                <c:pt idx="74" formatCode="#,##0_);[Red]\(#,##0\)">
                  <c:v>33880</c:v>
                </c:pt>
                <c:pt idx="75" formatCode="#,##0_);[Red]\(#,##0\)">
                  <c:v>33360</c:v>
                </c:pt>
                <c:pt idx="76" formatCode="#,##0_);[Red]\(#,##0\)">
                  <c:v>28520</c:v>
                </c:pt>
                <c:pt idx="77" formatCode="#,##0_);[Red]\(#,##0\)">
                  <c:v>30690</c:v>
                </c:pt>
                <c:pt idx="78" formatCode="#,##0_);[Red]\(#,##0\)">
                  <c:v>38750</c:v>
                </c:pt>
                <c:pt idx="79" formatCode="#,##0_);[Red]\(#,##0\)">
                  <c:v>55040</c:v>
                </c:pt>
                <c:pt idx="80" formatCode="#,##0_);[Red]\(#,##0\)">
                  <c:v>58610</c:v>
                </c:pt>
                <c:pt idx="81" formatCode="#,##0_);[Red]\(#,##0\)">
                  <c:v>47440</c:v>
                </c:pt>
                <c:pt idx="82" formatCode="#,##0_);[Red]\(#,##0\)">
                  <c:v>29830</c:v>
                </c:pt>
                <c:pt idx="83" formatCode="#,##0_);[Red]\(#,##0\)">
                  <c:v>31400</c:v>
                </c:pt>
                <c:pt idx="84" formatCode="#,##0_);[Red]\(#,##0\)">
                  <c:v>40540</c:v>
                </c:pt>
                <c:pt idx="85" formatCode="#,##0_);[Red]\(#,##0\)">
                  <c:v>43270</c:v>
                </c:pt>
                <c:pt idx="86" formatCode="#,##0_);[Red]\(#,##0\)">
                  <c:v>33250</c:v>
                </c:pt>
                <c:pt idx="87" formatCode="#,##0_);[Red]\(#,##0\)">
                  <c:v>32450</c:v>
                </c:pt>
                <c:pt idx="88" formatCode="#,##0_);[Red]\(#,##0\)">
                  <c:v>27600</c:v>
                </c:pt>
                <c:pt idx="89" formatCode="#,##0_);[Red]\(#,##0\)">
                  <c:v>36520</c:v>
                </c:pt>
                <c:pt idx="90" formatCode="#,##0_);[Red]\(#,##0\)">
                  <c:v>49420</c:v>
                </c:pt>
                <c:pt idx="91" formatCode="#,##0_);[Red]\(#,##0\)">
                  <c:v>62370</c:v>
                </c:pt>
                <c:pt idx="92" formatCode="#,##0_);[Red]\(#,##0\)">
                  <c:v>55990</c:v>
                </c:pt>
                <c:pt idx="93" formatCode="#,##0_);[Red]\(#,##0\)">
                  <c:v>32620</c:v>
                </c:pt>
                <c:pt idx="94" formatCode="#,##0_);[Red]\(#,##0\)">
                  <c:v>27170</c:v>
                </c:pt>
                <c:pt idx="95" formatCode="#,##0_);[Red]\(#,##0\)">
                  <c:v>32320</c:v>
                </c:pt>
                <c:pt idx="96" formatCode="#,##0_);[Red]\(#,##0\)">
                  <c:v>35070</c:v>
                </c:pt>
                <c:pt idx="97" formatCode="#,##0_);[Red]\(#,##0\)">
                  <c:v>38020</c:v>
                </c:pt>
                <c:pt idx="98" formatCode="#,##0_);[Red]\(#,##0\)">
                  <c:v>30600</c:v>
                </c:pt>
                <c:pt idx="99" formatCode="#,##0_);[Red]\(#,##0\)">
                  <c:v>32520</c:v>
                </c:pt>
                <c:pt idx="100" formatCode="#,##0_);[Red]\(#,##0\)">
                  <c:v>26940</c:v>
                </c:pt>
                <c:pt idx="101" formatCode="#,##0_);[Red]\(#,##0\)">
                  <c:v>28310</c:v>
                </c:pt>
                <c:pt idx="102" formatCode="#,##0_);[Red]\(#,##0\)">
                  <c:v>31200</c:v>
                </c:pt>
                <c:pt idx="103" formatCode="#,##0_);[Red]\(#,##0\)">
                  <c:v>43760</c:v>
                </c:pt>
                <c:pt idx="104" formatCode="#,##0_);[Red]\(#,##0\)">
                  <c:v>46940</c:v>
                </c:pt>
                <c:pt idx="105" formatCode="#,##0_);[Red]\(#,##0\)">
                  <c:v>34590</c:v>
                </c:pt>
                <c:pt idx="106" formatCode="#,##0_);[Red]\(#,##0\)">
                  <c:v>31410</c:v>
                </c:pt>
                <c:pt idx="107" formatCode="#,##0_);[Red]\(#,##0\)">
                  <c:v>35524.778480000001</c:v>
                </c:pt>
                <c:pt idx="108" formatCode="#,##0_);[Red]\(#,##0\)">
                  <c:v>37156.483497345136</c:v>
                </c:pt>
                <c:pt idx="109" formatCode="#,##0_);[Red]\(#,##0\)">
                  <c:v>38729.014590000006</c:v>
                </c:pt>
                <c:pt idx="110" formatCode="#,##0_);[Red]\(#,##0\)">
                  <c:v>34906.597880000008</c:v>
                </c:pt>
                <c:pt idx="111" formatCode="#,##0_);[Red]\(#,##0\)">
                  <c:v>34370.841359999999</c:v>
                </c:pt>
                <c:pt idx="112" formatCode="#,##0_);[Red]\(#,##0\)">
                  <c:v>29384.184519999999</c:v>
                </c:pt>
                <c:pt idx="113" formatCode="#,##0_);[Red]\(#,##0\)">
                  <c:v>31619.937689999992</c:v>
                </c:pt>
                <c:pt idx="114" formatCode="#,##0_);[Red]\(#,##0\)">
                  <c:v>39924.163750000007</c:v>
                </c:pt>
                <c:pt idx="115" formatCode="#,##0_);[Red]\(#,##0\)">
                  <c:v>56707.767040000006</c:v>
                </c:pt>
                <c:pt idx="116" formatCode="#,##0_);[Red]\(#,##0\)">
                  <c:v>60385.941610000009</c:v>
                </c:pt>
                <c:pt idx="117" formatCode="#,##0_);[Red]\(#,##0\)">
                  <c:v>48877.479439999996</c:v>
                </c:pt>
                <c:pt idx="118" formatCode="#,##0_);[Red]\(#,##0\)">
                  <c:v>37982.046365000002</c:v>
                </c:pt>
                <c:pt idx="119" formatCode="#,##0_);[Red]\(#,##0\)">
                  <c:v>35880.026264800006</c:v>
                </c:pt>
                <c:pt idx="120" formatCode="#,##0_);[Red]\(#,##0\)">
                  <c:v>37528.048332318591</c:v>
                </c:pt>
                <c:pt idx="121" formatCode="#,##0_);[Red]\(#,##0\)">
                  <c:v>39116.304735900012</c:v>
                </c:pt>
                <c:pt idx="122" formatCode="#,##0_);[Red]\(#,##0\)">
                  <c:v>35255.663858800006</c:v>
                </c:pt>
                <c:pt idx="123" formatCode="#,##0_);[Red]\(#,##0\)">
                  <c:v>34714.549773600003</c:v>
                </c:pt>
                <c:pt idx="124" formatCode="#,##0_);[Red]\(#,##0\)">
                  <c:v>29678.026365199996</c:v>
                </c:pt>
                <c:pt idx="125" formatCode="#,##0_);[Red]\(#,##0\)">
                  <c:v>31936.137066899988</c:v>
                </c:pt>
                <c:pt idx="126" formatCode="#,##0_);[Red]\(#,##0\)">
                  <c:v>40323.40538750001</c:v>
                </c:pt>
                <c:pt idx="127" formatCode="#,##0_);[Red]\(#,##0\)">
                  <c:v>57274.844710400001</c:v>
                </c:pt>
                <c:pt idx="128" formatCode="#,##0_);[Red]\(#,##0\)">
                  <c:v>60989.801026100009</c:v>
                </c:pt>
                <c:pt idx="129" formatCode="#,##0_);[Red]\(#,##0\)">
                  <c:v>49366.254234400003</c:v>
                </c:pt>
                <c:pt idx="130" formatCode="#,##0_);[Red]\(#,##0\)">
                  <c:v>38361.866828649996</c:v>
                </c:pt>
                <c:pt idx="131" formatCode="#,##0_);[Red]\(#,##0\)">
                  <c:v>36238.826527448</c:v>
                </c:pt>
                <c:pt idx="132" formatCode="#,##0_);[Red]\(#,##0\)">
                  <c:v>37903.328815641777</c:v>
                </c:pt>
                <c:pt idx="133" formatCode="#,##0_);[Red]\(#,##0\)">
                  <c:v>39507.46778325901</c:v>
                </c:pt>
                <c:pt idx="134" formatCode="#,##0_);[Red]\(#,##0\)">
                  <c:v>35608.220497388007</c:v>
                </c:pt>
                <c:pt idx="135" formatCode="#,##0_);[Red]\(#,##0\)">
                  <c:v>35061.695271336001</c:v>
                </c:pt>
                <c:pt idx="136" formatCode="#,##0_);[Red]\(#,##0\)">
                  <c:v>29974.806628851995</c:v>
                </c:pt>
                <c:pt idx="137" formatCode="#,##0_);[Red]\(#,##0\)">
                  <c:v>32255.498437568986</c:v>
                </c:pt>
                <c:pt idx="138" formatCode="#,##0_);[Red]\(#,##0\)">
                  <c:v>40726.639441375009</c:v>
                </c:pt>
                <c:pt idx="139" formatCode="#,##0_);[Red]\(#,##0\)">
                  <c:v>57847.593157504001</c:v>
                </c:pt>
                <c:pt idx="140" formatCode="#,##0_);[Red]\(#,##0\)">
                  <c:v>61599.699036361009</c:v>
                </c:pt>
                <c:pt idx="141" formatCode="#,##0_);[Red]\(#,##0\)">
                  <c:v>49859.916776744001</c:v>
                </c:pt>
                <c:pt idx="142" formatCode="#,##0_);[Red]\(#,##0\)">
                  <c:v>38745.485496936497</c:v>
                </c:pt>
                <c:pt idx="143" formatCode="#,##0_);[Red]\(#,##0\)">
                  <c:v>36601.21479272248</c:v>
                </c:pt>
                <c:pt idx="144" formatCode="#,##0_);[Red]\(#,##0\)">
                  <c:v>38282.362103798194</c:v>
                </c:pt>
                <c:pt idx="145" formatCode="#,##0_);[Red]\(#,##0\)">
                  <c:v>39902.542461091602</c:v>
                </c:pt>
                <c:pt idx="146" formatCode="#,##0_);[Red]\(#,##0\)">
                  <c:v>35964.302702361892</c:v>
                </c:pt>
                <c:pt idx="147" formatCode="#,##0_);[Red]\(#,##0\)">
                  <c:v>35412.312224049361</c:v>
                </c:pt>
                <c:pt idx="148" formatCode="#,##0_);[Red]\(#,##0\)">
                  <c:v>30274.554695140512</c:v>
                </c:pt>
                <c:pt idx="149" formatCode="#,##0_);[Red]\(#,##0\)">
                  <c:v>32578.053421944678</c:v>
                </c:pt>
                <c:pt idx="150" formatCode="#,##0_);[Red]\(#,##0\)">
                  <c:v>41133.905835788755</c:v>
                </c:pt>
                <c:pt idx="151" formatCode="#,##0_);[Red]\(#,##0\)">
                  <c:v>58426.069089079043</c:v>
                </c:pt>
                <c:pt idx="152" formatCode="#,##0_);[Red]\(#,##0\)">
                  <c:v>62215.696026724618</c:v>
                </c:pt>
                <c:pt idx="153" formatCode="#,##0_);[Red]\(#,##0\)">
                  <c:v>50358.51594451144</c:v>
                </c:pt>
                <c:pt idx="154" formatCode="#,##0_);[Red]\(#,##0\)">
                  <c:v>39132.940351905869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DDB-42D6-92FF-AA7E26D0B15D}"/>
            </c:ext>
          </c:extLst>
        </c:ser>
        <c:ser>
          <c:idx val="1"/>
          <c:order val="1"/>
          <c:tx>
            <c:v>수도료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(관리비_Kenneth!$A$4:$A$51,관리비_Kenneth!$A$60:$A$169)</c:f>
              <c:numCache>
                <c:formatCode>yyyy/mm</c:formatCode>
                <c:ptCount val="158"/>
                <c:pt idx="0">
                  <c:v>43132</c:v>
                </c:pt>
                <c:pt idx="1">
                  <c:v>43160</c:v>
                </c:pt>
                <c:pt idx="2">
                  <c:v>43191</c:v>
                </c:pt>
                <c:pt idx="3">
                  <c:v>43221</c:v>
                </c:pt>
                <c:pt idx="4">
                  <c:v>43252</c:v>
                </c:pt>
                <c:pt idx="5">
                  <c:v>43282</c:v>
                </c:pt>
                <c:pt idx="6">
                  <c:v>43313</c:v>
                </c:pt>
                <c:pt idx="7">
                  <c:v>43344</c:v>
                </c:pt>
                <c:pt idx="8">
                  <c:v>43374</c:v>
                </c:pt>
                <c:pt idx="9">
                  <c:v>43405</c:v>
                </c:pt>
                <c:pt idx="10">
                  <c:v>43435</c:v>
                </c:pt>
                <c:pt idx="11">
                  <c:v>43466</c:v>
                </c:pt>
                <c:pt idx="12">
                  <c:v>43497</c:v>
                </c:pt>
                <c:pt idx="13">
                  <c:v>43525</c:v>
                </c:pt>
                <c:pt idx="14">
                  <c:v>43556</c:v>
                </c:pt>
                <c:pt idx="15">
                  <c:v>43586</c:v>
                </c:pt>
                <c:pt idx="16">
                  <c:v>43617</c:v>
                </c:pt>
                <c:pt idx="17">
                  <c:v>43647</c:v>
                </c:pt>
                <c:pt idx="18">
                  <c:v>43678</c:v>
                </c:pt>
                <c:pt idx="19">
                  <c:v>43709</c:v>
                </c:pt>
                <c:pt idx="20">
                  <c:v>43739</c:v>
                </c:pt>
                <c:pt idx="21">
                  <c:v>43770</c:v>
                </c:pt>
                <c:pt idx="22">
                  <c:v>43800</c:v>
                </c:pt>
                <c:pt idx="23">
                  <c:v>43831</c:v>
                </c:pt>
                <c:pt idx="24">
                  <c:v>43862</c:v>
                </c:pt>
                <c:pt idx="25">
                  <c:v>43891</c:v>
                </c:pt>
                <c:pt idx="26">
                  <c:v>43922</c:v>
                </c:pt>
                <c:pt idx="27">
                  <c:v>43952</c:v>
                </c:pt>
                <c:pt idx="28">
                  <c:v>43983</c:v>
                </c:pt>
                <c:pt idx="29">
                  <c:v>44013</c:v>
                </c:pt>
                <c:pt idx="30">
                  <c:v>44044</c:v>
                </c:pt>
                <c:pt idx="31">
                  <c:v>44075</c:v>
                </c:pt>
                <c:pt idx="32">
                  <c:v>44105</c:v>
                </c:pt>
                <c:pt idx="33">
                  <c:v>44136</c:v>
                </c:pt>
                <c:pt idx="34">
                  <c:v>44166</c:v>
                </c:pt>
                <c:pt idx="35">
                  <c:v>44197</c:v>
                </c:pt>
                <c:pt idx="36">
                  <c:v>44228</c:v>
                </c:pt>
                <c:pt idx="37">
                  <c:v>44256</c:v>
                </c:pt>
                <c:pt idx="38">
                  <c:v>44287</c:v>
                </c:pt>
                <c:pt idx="39">
                  <c:v>44317</c:v>
                </c:pt>
                <c:pt idx="40">
                  <c:v>44348</c:v>
                </c:pt>
                <c:pt idx="41">
                  <c:v>44378</c:v>
                </c:pt>
                <c:pt idx="42">
                  <c:v>44409</c:v>
                </c:pt>
                <c:pt idx="43">
                  <c:v>44440</c:v>
                </c:pt>
                <c:pt idx="44">
                  <c:v>44470</c:v>
                </c:pt>
                <c:pt idx="45">
                  <c:v>44501</c:v>
                </c:pt>
                <c:pt idx="46">
                  <c:v>44531</c:v>
                </c:pt>
                <c:pt idx="47">
                  <c:v>44562</c:v>
                </c:pt>
                <c:pt idx="48">
                  <c:v>44593</c:v>
                </c:pt>
                <c:pt idx="49">
                  <c:v>44621</c:v>
                </c:pt>
                <c:pt idx="50">
                  <c:v>44652</c:v>
                </c:pt>
                <c:pt idx="51">
                  <c:v>44682</c:v>
                </c:pt>
                <c:pt idx="52">
                  <c:v>44713</c:v>
                </c:pt>
                <c:pt idx="53">
                  <c:v>44743</c:v>
                </c:pt>
                <c:pt idx="54">
                  <c:v>44774</c:v>
                </c:pt>
                <c:pt idx="55">
                  <c:v>44805</c:v>
                </c:pt>
                <c:pt idx="56">
                  <c:v>44835</c:v>
                </c:pt>
                <c:pt idx="57">
                  <c:v>44866</c:v>
                </c:pt>
                <c:pt idx="58">
                  <c:v>44896</c:v>
                </c:pt>
                <c:pt idx="59">
                  <c:v>44927</c:v>
                </c:pt>
                <c:pt idx="60">
                  <c:v>44958</c:v>
                </c:pt>
                <c:pt idx="61">
                  <c:v>44986</c:v>
                </c:pt>
                <c:pt idx="62">
                  <c:v>45017</c:v>
                </c:pt>
                <c:pt idx="63">
                  <c:v>45047</c:v>
                </c:pt>
                <c:pt idx="64">
                  <c:v>45078</c:v>
                </c:pt>
                <c:pt idx="65">
                  <c:v>45108</c:v>
                </c:pt>
                <c:pt idx="66">
                  <c:v>45139</c:v>
                </c:pt>
                <c:pt idx="67">
                  <c:v>45170</c:v>
                </c:pt>
                <c:pt idx="68">
                  <c:v>45200</c:v>
                </c:pt>
                <c:pt idx="69">
                  <c:v>45231</c:v>
                </c:pt>
                <c:pt idx="70">
                  <c:v>45261</c:v>
                </c:pt>
                <c:pt idx="71">
                  <c:v>45292</c:v>
                </c:pt>
                <c:pt idx="72">
                  <c:v>45323</c:v>
                </c:pt>
                <c:pt idx="73">
                  <c:v>45352</c:v>
                </c:pt>
                <c:pt idx="74">
                  <c:v>45383</c:v>
                </c:pt>
                <c:pt idx="75">
                  <c:v>45413</c:v>
                </c:pt>
                <c:pt idx="76">
                  <c:v>45444</c:v>
                </c:pt>
                <c:pt idx="77">
                  <c:v>45474</c:v>
                </c:pt>
                <c:pt idx="78">
                  <c:v>45505</c:v>
                </c:pt>
                <c:pt idx="79">
                  <c:v>45536</c:v>
                </c:pt>
                <c:pt idx="80">
                  <c:v>45566</c:v>
                </c:pt>
                <c:pt idx="81">
                  <c:v>45597</c:v>
                </c:pt>
                <c:pt idx="82">
                  <c:v>45627</c:v>
                </c:pt>
                <c:pt idx="83">
                  <c:v>45658</c:v>
                </c:pt>
                <c:pt idx="84">
                  <c:v>45689</c:v>
                </c:pt>
                <c:pt idx="85">
                  <c:v>45717</c:v>
                </c:pt>
                <c:pt idx="86">
                  <c:v>45748</c:v>
                </c:pt>
                <c:pt idx="87">
                  <c:v>45778</c:v>
                </c:pt>
                <c:pt idx="88">
                  <c:v>45809</c:v>
                </c:pt>
                <c:pt idx="89">
                  <c:v>45839</c:v>
                </c:pt>
                <c:pt idx="90">
                  <c:v>45870</c:v>
                </c:pt>
                <c:pt idx="91">
                  <c:v>45901</c:v>
                </c:pt>
                <c:pt idx="92">
                  <c:v>45931</c:v>
                </c:pt>
                <c:pt idx="93">
                  <c:v>45962</c:v>
                </c:pt>
                <c:pt idx="94">
                  <c:v>45992</c:v>
                </c:pt>
                <c:pt idx="95">
                  <c:v>46023</c:v>
                </c:pt>
                <c:pt idx="96">
                  <c:v>46054</c:v>
                </c:pt>
                <c:pt idx="97">
                  <c:v>46082</c:v>
                </c:pt>
                <c:pt idx="98">
                  <c:v>46113</c:v>
                </c:pt>
                <c:pt idx="99">
                  <c:v>46143</c:v>
                </c:pt>
                <c:pt idx="100">
                  <c:v>46174</c:v>
                </c:pt>
                <c:pt idx="101">
                  <c:v>46204</c:v>
                </c:pt>
                <c:pt idx="102">
                  <c:v>46235</c:v>
                </c:pt>
                <c:pt idx="103">
                  <c:v>46266</c:v>
                </c:pt>
                <c:pt idx="104">
                  <c:v>46296</c:v>
                </c:pt>
                <c:pt idx="105">
                  <c:v>46327</c:v>
                </c:pt>
                <c:pt idx="106">
                  <c:v>46357</c:v>
                </c:pt>
                <c:pt idx="107">
                  <c:v>46388</c:v>
                </c:pt>
                <c:pt idx="108">
                  <c:v>46419</c:v>
                </c:pt>
                <c:pt idx="109">
                  <c:v>46447</c:v>
                </c:pt>
                <c:pt idx="110">
                  <c:v>46478</c:v>
                </c:pt>
                <c:pt idx="111">
                  <c:v>46508</c:v>
                </c:pt>
                <c:pt idx="112">
                  <c:v>46539</c:v>
                </c:pt>
                <c:pt idx="113">
                  <c:v>46569</c:v>
                </c:pt>
                <c:pt idx="114">
                  <c:v>46600</c:v>
                </c:pt>
                <c:pt idx="115">
                  <c:v>46631</c:v>
                </c:pt>
                <c:pt idx="116">
                  <c:v>46661</c:v>
                </c:pt>
                <c:pt idx="117">
                  <c:v>46692</c:v>
                </c:pt>
                <c:pt idx="118">
                  <c:v>46722</c:v>
                </c:pt>
                <c:pt idx="119">
                  <c:v>46753</c:v>
                </c:pt>
                <c:pt idx="120">
                  <c:v>46784</c:v>
                </c:pt>
                <c:pt idx="121">
                  <c:v>46813</c:v>
                </c:pt>
                <c:pt idx="122">
                  <c:v>46844</c:v>
                </c:pt>
                <c:pt idx="123">
                  <c:v>46874</c:v>
                </c:pt>
                <c:pt idx="124">
                  <c:v>46905</c:v>
                </c:pt>
                <c:pt idx="125">
                  <c:v>46935</c:v>
                </c:pt>
                <c:pt idx="126">
                  <c:v>46966</c:v>
                </c:pt>
                <c:pt idx="127">
                  <c:v>46997</c:v>
                </c:pt>
                <c:pt idx="128">
                  <c:v>47027</c:v>
                </c:pt>
                <c:pt idx="129">
                  <c:v>47058</c:v>
                </c:pt>
                <c:pt idx="130">
                  <c:v>47088</c:v>
                </c:pt>
                <c:pt idx="131">
                  <c:v>47119</c:v>
                </c:pt>
                <c:pt idx="132">
                  <c:v>47150</c:v>
                </c:pt>
                <c:pt idx="133">
                  <c:v>47178</c:v>
                </c:pt>
                <c:pt idx="134">
                  <c:v>47209</c:v>
                </c:pt>
                <c:pt idx="135">
                  <c:v>47239</c:v>
                </c:pt>
                <c:pt idx="136">
                  <c:v>47270</c:v>
                </c:pt>
                <c:pt idx="137">
                  <c:v>47300</c:v>
                </c:pt>
                <c:pt idx="138">
                  <c:v>47331</c:v>
                </c:pt>
                <c:pt idx="139">
                  <c:v>47362</c:v>
                </c:pt>
                <c:pt idx="140">
                  <c:v>47392</c:v>
                </c:pt>
                <c:pt idx="141">
                  <c:v>47423</c:v>
                </c:pt>
                <c:pt idx="142">
                  <c:v>47453</c:v>
                </c:pt>
                <c:pt idx="143">
                  <c:v>47484</c:v>
                </c:pt>
                <c:pt idx="144">
                  <c:v>47515</c:v>
                </c:pt>
                <c:pt idx="145">
                  <c:v>47543</c:v>
                </c:pt>
                <c:pt idx="146">
                  <c:v>47574</c:v>
                </c:pt>
                <c:pt idx="147">
                  <c:v>47604</c:v>
                </c:pt>
                <c:pt idx="148">
                  <c:v>47635</c:v>
                </c:pt>
                <c:pt idx="149">
                  <c:v>47665</c:v>
                </c:pt>
                <c:pt idx="150">
                  <c:v>47696</c:v>
                </c:pt>
                <c:pt idx="151">
                  <c:v>47727</c:v>
                </c:pt>
                <c:pt idx="152">
                  <c:v>47757</c:v>
                </c:pt>
                <c:pt idx="153">
                  <c:v>47788</c:v>
                </c:pt>
                <c:pt idx="154">
                  <c:v>47818</c:v>
                </c:pt>
              </c:numCache>
            </c:numRef>
          </c:cat>
          <c:val>
            <c:numRef>
              <c:f>(관리비_Kenneth!$U$4:$U$51,관리비_Kenneth!$U$60:$U$170)</c:f>
              <c:numCache>
                <c:formatCode>#,##0_ ;[Red]\-#,##0\ </c:formatCode>
                <c:ptCount val="159"/>
                <c:pt idx="2">
                  <c:v>7890</c:v>
                </c:pt>
                <c:pt idx="3">
                  <c:v>6850</c:v>
                </c:pt>
                <c:pt idx="4">
                  <c:v>10000</c:v>
                </c:pt>
                <c:pt idx="5">
                  <c:v>8200</c:v>
                </c:pt>
                <c:pt idx="6">
                  <c:v>8070</c:v>
                </c:pt>
                <c:pt idx="7">
                  <c:v>8640</c:v>
                </c:pt>
                <c:pt idx="8">
                  <c:v>6720</c:v>
                </c:pt>
                <c:pt idx="9">
                  <c:v>8640</c:v>
                </c:pt>
                <c:pt idx="10">
                  <c:v>8640</c:v>
                </c:pt>
                <c:pt idx="11">
                  <c:v>6720</c:v>
                </c:pt>
                <c:pt idx="12">
                  <c:v>6720</c:v>
                </c:pt>
                <c:pt idx="13">
                  <c:v>6720</c:v>
                </c:pt>
                <c:pt idx="14">
                  <c:v>6720</c:v>
                </c:pt>
                <c:pt idx="15">
                  <c:v>7030</c:v>
                </c:pt>
                <c:pt idx="16">
                  <c:v>8610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7680</c:v>
                </c:pt>
                <c:pt idx="21">
                  <c:v>7860</c:v>
                </c:pt>
                <c:pt idx="22">
                  <c:v>7680</c:v>
                </c:pt>
                <c:pt idx="23">
                  <c:v>5660</c:v>
                </c:pt>
                <c:pt idx="24">
                  <c:v>7380</c:v>
                </c:pt>
                <c:pt idx="25">
                  <c:v>10750</c:v>
                </c:pt>
                <c:pt idx="26">
                  <c:v>9780</c:v>
                </c:pt>
                <c:pt idx="27">
                  <c:v>9600</c:v>
                </c:pt>
                <c:pt idx="28">
                  <c:v>12660</c:v>
                </c:pt>
                <c:pt idx="29">
                  <c:v>10790</c:v>
                </c:pt>
                <c:pt idx="30">
                  <c:v>10930</c:v>
                </c:pt>
                <c:pt idx="31">
                  <c:v>9360</c:v>
                </c:pt>
                <c:pt idx="32">
                  <c:v>11740</c:v>
                </c:pt>
                <c:pt idx="33">
                  <c:v>8090</c:v>
                </c:pt>
                <c:pt idx="34">
                  <c:v>9940</c:v>
                </c:pt>
                <c:pt idx="35">
                  <c:v>9200</c:v>
                </c:pt>
                <c:pt idx="36">
                  <c:v>9900</c:v>
                </c:pt>
                <c:pt idx="37">
                  <c:v>11270</c:v>
                </c:pt>
                <c:pt idx="38">
                  <c:v>8490</c:v>
                </c:pt>
                <c:pt idx="39">
                  <c:v>11100</c:v>
                </c:pt>
                <c:pt idx="40">
                  <c:v>10500</c:v>
                </c:pt>
                <c:pt idx="41">
                  <c:v>9970</c:v>
                </c:pt>
                <c:pt idx="42">
                  <c:v>11800</c:v>
                </c:pt>
                <c:pt idx="43">
                  <c:v>5460</c:v>
                </c:pt>
                <c:pt idx="44">
                  <c:v>9920</c:v>
                </c:pt>
                <c:pt idx="45">
                  <c:v>7930</c:v>
                </c:pt>
                <c:pt idx="46">
                  <c:v>8510</c:v>
                </c:pt>
                <c:pt idx="47">
                  <c:v>7920</c:v>
                </c:pt>
                <c:pt idx="48" formatCode="#,##0_);[Red]\(#,##0\)">
                  <c:v>9450</c:v>
                </c:pt>
                <c:pt idx="49" formatCode="#,##0_);[Red]\(#,##0\)">
                  <c:v>11550</c:v>
                </c:pt>
                <c:pt idx="50" formatCode="#,##0_);[Red]\(#,##0\)">
                  <c:v>9450</c:v>
                </c:pt>
                <c:pt idx="51" formatCode="#,##0_);[Red]\(#,##0\)">
                  <c:v>10500</c:v>
                </c:pt>
                <c:pt idx="52" formatCode="#,##0_);[Red]\(#,##0\)">
                  <c:v>9450</c:v>
                </c:pt>
                <c:pt idx="53" formatCode="#,##0_);[Red]\(#,##0\)">
                  <c:v>9450</c:v>
                </c:pt>
                <c:pt idx="54" formatCode="#,##0_);[Red]\(#,##0\)">
                  <c:v>8400</c:v>
                </c:pt>
                <c:pt idx="55" formatCode="#,##0_);[Red]\(#,##0\)">
                  <c:v>7350</c:v>
                </c:pt>
                <c:pt idx="56" formatCode="#,##0_);[Red]\(#,##0\)">
                  <c:v>8400</c:v>
                </c:pt>
                <c:pt idx="57" formatCode="#,##0_);[Red]\(#,##0\)">
                  <c:v>8400</c:v>
                </c:pt>
                <c:pt idx="58" formatCode="#,##0_);[Red]\(#,##0\)">
                  <c:v>9450</c:v>
                </c:pt>
                <c:pt idx="59" formatCode="#,##0_);[Red]\(#,##0\)">
                  <c:v>7350</c:v>
                </c:pt>
                <c:pt idx="60" formatCode="#,##0_);[Red]\(#,##0\)">
                  <c:v>8400</c:v>
                </c:pt>
                <c:pt idx="61" formatCode="#,##0_);[Red]\(#,##0\)">
                  <c:v>8050</c:v>
                </c:pt>
                <c:pt idx="62" formatCode="#,##0_);[Red]\(#,##0\)">
                  <c:v>8050</c:v>
                </c:pt>
                <c:pt idx="63" formatCode="#,##0_);[Red]\(#,##0\)">
                  <c:v>8050</c:v>
                </c:pt>
                <c:pt idx="64" formatCode="#,##0_);[Red]\(#,##0\)">
                  <c:v>8050</c:v>
                </c:pt>
                <c:pt idx="65" formatCode="#,##0_);[Red]\(#,##0\)">
                  <c:v>6900</c:v>
                </c:pt>
                <c:pt idx="66" formatCode="#,##0_);[Red]\(#,##0\)">
                  <c:v>6900</c:v>
                </c:pt>
                <c:pt idx="67" formatCode="#,##0_);[Red]\(#,##0\)">
                  <c:v>8050</c:v>
                </c:pt>
                <c:pt idx="68" formatCode="#,##0_);[Red]\(#,##0\)">
                  <c:v>8050</c:v>
                </c:pt>
                <c:pt idx="69" formatCode="#,##0_);[Red]\(#,##0\)">
                  <c:v>6900</c:v>
                </c:pt>
                <c:pt idx="70" formatCode="#,##0_);[Red]\(#,##0\)">
                  <c:v>9200</c:v>
                </c:pt>
                <c:pt idx="71" formatCode="#,##0_);[Red]\(#,##0\)">
                  <c:v>8050</c:v>
                </c:pt>
                <c:pt idx="72" formatCode="#,##0_);[Red]\(#,##0\)">
                  <c:v>2300</c:v>
                </c:pt>
                <c:pt idx="73" formatCode="#,##0_);[Red]\(#,##0\)">
                  <c:v>9200</c:v>
                </c:pt>
                <c:pt idx="74" formatCode="#,##0_);[Red]\(#,##0\)">
                  <c:v>6900</c:v>
                </c:pt>
                <c:pt idx="75" formatCode="#,##0_);[Red]\(#,##0\)">
                  <c:v>8050</c:v>
                </c:pt>
                <c:pt idx="76" formatCode="#,##0_);[Red]\(#,##0\)">
                  <c:v>9200</c:v>
                </c:pt>
                <c:pt idx="77" formatCode="#,##0_);[Red]\(#,##0\)">
                  <c:v>9200</c:v>
                </c:pt>
                <c:pt idx="78" formatCode="#,##0_);[Red]\(#,##0\)">
                  <c:v>8050</c:v>
                </c:pt>
                <c:pt idx="79" formatCode="#,##0_);[Red]\(#,##0\)">
                  <c:v>8050</c:v>
                </c:pt>
                <c:pt idx="80" formatCode="#,##0_);[Red]\(#,##0\)">
                  <c:v>8050</c:v>
                </c:pt>
                <c:pt idx="81" formatCode="#,##0_);[Red]\(#,##0\)">
                  <c:v>9200</c:v>
                </c:pt>
                <c:pt idx="82" formatCode="#,##0_);[Red]\(#,##0\)">
                  <c:v>6900</c:v>
                </c:pt>
                <c:pt idx="83" formatCode="#,##0_);[Red]\(#,##0\)">
                  <c:v>8050</c:v>
                </c:pt>
                <c:pt idx="84" formatCode="#,##0_);[Red]\(#,##0\)">
                  <c:v>8050</c:v>
                </c:pt>
                <c:pt idx="85" formatCode="#,##0_);[Red]\(#,##0\)">
                  <c:v>8050</c:v>
                </c:pt>
                <c:pt idx="86" formatCode="#,##0_);[Red]\(#,##0\)">
                  <c:v>5750</c:v>
                </c:pt>
                <c:pt idx="87" formatCode="#,##0_);[Red]\(#,##0\)">
                  <c:v>8050</c:v>
                </c:pt>
                <c:pt idx="88" formatCode="#,##0_);[Red]\(#,##0\)">
                  <c:v>6900</c:v>
                </c:pt>
                <c:pt idx="89" formatCode="#,##0_);[Red]\(#,##0\)">
                  <c:v>9200</c:v>
                </c:pt>
                <c:pt idx="90" formatCode="#,##0_);[Red]\(#,##0\)">
                  <c:v>8050</c:v>
                </c:pt>
                <c:pt idx="91" formatCode="#,##0_);[Red]\(#,##0\)">
                  <c:v>8050</c:v>
                </c:pt>
                <c:pt idx="92" formatCode="#,##0_);[Red]\(#,##0\)">
                  <c:v>9200</c:v>
                </c:pt>
                <c:pt idx="93" formatCode="#,##0_);[Red]\(#,##0\)">
                  <c:v>8050</c:v>
                </c:pt>
                <c:pt idx="94" formatCode="#,##0_);[Red]\(#,##0\)">
                  <c:v>8050</c:v>
                </c:pt>
                <c:pt idx="95" formatCode="#,##0_);[Red]\(#,##0\)">
                  <c:v>8050</c:v>
                </c:pt>
                <c:pt idx="96" formatCode="#,##0_);[Red]\(#,##0\)">
                  <c:v>6900</c:v>
                </c:pt>
                <c:pt idx="97" formatCode="#,##0_);[Red]\(#,##0\)">
                  <c:v>6900</c:v>
                </c:pt>
                <c:pt idx="98" formatCode="#,##0_);[Red]\(#,##0\)">
                  <c:v>8050</c:v>
                </c:pt>
                <c:pt idx="99" formatCode="#,##0_);[Red]\(#,##0\)">
                  <c:v>8050</c:v>
                </c:pt>
                <c:pt idx="100" formatCode="#,##0_);[Red]\(#,##0\)">
                  <c:v>6900</c:v>
                </c:pt>
                <c:pt idx="101" formatCode="#,##0_);[Red]\(#,##0\)">
                  <c:v>9200</c:v>
                </c:pt>
                <c:pt idx="102" formatCode="#,##0_);[Red]\(#,##0\)">
                  <c:v>8050</c:v>
                </c:pt>
                <c:pt idx="103" formatCode="#,##0_);[Red]\(#,##0\)">
                  <c:v>8050</c:v>
                </c:pt>
                <c:pt idx="104" formatCode="#,##0_);[Red]\(#,##0\)">
                  <c:v>8050</c:v>
                </c:pt>
                <c:pt idx="105" formatCode="#,##0_);[Red]\(#,##0\)">
                  <c:v>8050</c:v>
                </c:pt>
                <c:pt idx="106" formatCode="#,##0_);[Red]\(#,##0\)">
                  <c:v>8050</c:v>
                </c:pt>
                <c:pt idx="107" formatCode="#,##0_);[Red]\(#,##0\)">
                  <c:v>8190</c:v>
                </c:pt>
                <c:pt idx="108" formatCode="#,##0_);[Red]\(#,##0\)">
                  <c:v>8260</c:v>
                </c:pt>
                <c:pt idx="109" formatCode="#,##0_);[Red]\(#,##0\)">
                  <c:v>8260</c:v>
                </c:pt>
                <c:pt idx="110" formatCode="#,##0_);[Red]\(#,##0\)">
                  <c:v>8260</c:v>
                </c:pt>
                <c:pt idx="111" formatCode="#,##0_);[Red]\(#,##0\)">
                  <c:v>8260</c:v>
                </c:pt>
                <c:pt idx="112" formatCode="#,##0_);[Red]\(#,##0\)">
                  <c:v>8260</c:v>
                </c:pt>
                <c:pt idx="113" formatCode="#,##0_);[Red]\(#,##0\)">
                  <c:v>8260</c:v>
                </c:pt>
                <c:pt idx="114" formatCode="#,##0_);[Red]\(#,##0\)">
                  <c:v>8260</c:v>
                </c:pt>
                <c:pt idx="115" formatCode="#,##0_);[Red]\(#,##0\)">
                  <c:v>8260</c:v>
                </c:pt>
                <c:pt idx="116" formatCode="#,##0_);[Red]\(#,##0\)">
                  <c:v>8260</c:v>
                </c:pt>
                <c:pt idx="117" formatCode="#,##0_);[Red]\(#,##0\)">
                  <c:v>8260</c:v>
                </c:pt>
                <c:pt idx="118" formatCode="#,##0_);[Red]\(#,##0\)">
                  <c:v>8260</c:v>
                </c:pt>
                <c:pt idx="119" formatCode="#,##0_);[Red]\(#,##0\)">
                  <c:v>8260</c:v>
                </c:pt>
                <c:pt idx="120" formatCode="#,##0_);[Red]\(#,##0\)">
                  <c:v>8330</c:v>
                </c:pt>
                <c:pt idx="121" formatCode="#,##0_);[Red]\(#,##0\)">
                  <c:v>8330</c:v>
                </c:pt>
                <c:pt idx="122" formatCode="#,##0_);[Red]\(#,##0\)">
                  <c:v>8330</c:v>
                </c:pt>
                <c:pt idx="123" formatCode="#,##0_);[Red]\(#,##0\)">
                  <c:v>8330</c:v>
                </c:pt>
                <c:pt idx="124" formatCode="#,##0_);[Red]\(#,##0\)">
                  <c:v>8330</c:v>
                </c:pt>
                <c:pt idx="125" formatCode="#,##0_);[Red]\(#,##0\)">
                  <c:v>8330</c:v>
                </c:pt>
                <c:pt idx="126" formatCode="#,##0_);[Red]\(#,##0\)">
                  <c:v>8330</c:v>
                </c:pt>
                <c:pt idx="127" formatCode="#,##0_);[Red]\(#,##0\)">
                  <c:v>8330</c:v>
                </c:pt>
                <c:pt idx="128" formatCode="#,##0_);[Red]\(#,##0\)">
                  <c:v>8330</c:v>
                </c:pt>
                <c:pt idx="129" formatCode="#,##0_);[Red]\(#,##0\)">
                  <c:v>8330</c:v>
                </c:pt>
                <c:pt idx="130" formatCode="#,##0_);[Red]\(#,##0\)">
                  <c:v>8330</c:v>
                </c:pt>
                <c:pt idx="131" formatCode="#,##0_);[Red]\(#,##0\)">
                  <c:v>8330</c:v>
                </c:pt>
                <c:pt idx="132" formatCode="#,##0_);[Red]\(#,##0\)">
                  <c:v>8400</c:v>
                </c:pt>
                <c:pt idx="133" formatCode="#,##0_);[Red]\(#,##0\)">
                  <c:v>8400</c:v>
                </c:pt>
                <c:pt idx="134" formatCode="#,##0_);[Red]\(#,##0\)">
                  <c:v>8400</c:v>
                </c:pt>
                <c:pt idx="135" formatCode="#,##0_);[Red]\(#,##0\)">
                  <c:v>8400</c:v>
                </c:pt>
                <c:pt idx="136" formatCode="#,##0_);[Red]\(#,##0\)">
                  <c:v>8400</c:v>
                </c:pt>
                <c:pt idx="137" formatCode="#,##0_);[Red]\(#,##0\)">
                  <c:v>8400</c:v>
                </c:pt>
                <c:pt idx="138" formatCode="#,##0_);[Red]\(#,##0\)">
                  <c:v>8400</c:v>
                </c:pt>
                <c:pt idx="139" formatCode="#,##0_);[Red]\(#,##0\)">
                  <c:v>8400</c:v>
                </c:pt>
                <c:pt idx="140" formatCode="#,##0_);[Red]\(#,##0\)">
                  <c:v>8400</c:v>
                </c:pt>
                <c:pt idx="141" formatCode="#,##0_);[Red]\(#,##0\)">
                  <c:v>8400</c:v>
                </c:pt>
                <c:pt idx="142" formatCode="#,##0_);[Red]\(#,##0\)">
                  <c:v>8400</c:v>
                </c:pt>
                <c:pt idx="143" formatCode="#,##0_);[Red]\(#,##0\)">
                  <c:v>8400</c:v>
                </c:pt>
                <c:pt idx="144" formatCode="#,##0_);[Red]\(#,##0\)">
                  <c:v>8470</c:v>
                </c:pt>
                <c:pt idx="145" formatCode="#,##0_);[Red]\(#,##0\)">
                  <c:v>8470</c:v>
                </c:pt>
                <c:pt idx="146" formatCode="#,##0_);[Red]\(#,##0\)">
                  <c:v>8470</c:v>
                </c:pt>
                <c:pt idx="147" formatCode="#,##0_);[Red]\(#,##0\)">
                  <c:v>8470</c:v>
                </c:pt>
                <c:pt idx="148" formatCode="#,##0_);[Red]\(#,##0\)">
                  <c:v>8470</c:v>
                </c:pt>
                <c:pt idx="149" formatCode="#,##0_);[Red]\(#,##0\)">
                  <c:v>8470</c:v>
                </c:pt>
                <c:pt idx="150" formatCode="#,##0_);[Red]\(#,##0\)">
                  <c:v>8470</c:v>
                </c:pt>
                <c:pt idx="151" formatCode="#,##0_);[Red]\(#,##0\)">
                  <c:v>8470</c:v>
                </c:pt>
                <c:pt idx="152" formatCode="#,##0_);[Red]\(#,##0\)">
                  <c:v>8470</c:v>
                </c:pt>
                <c:pt idx="153" formatCode="#,##0_);[Red]\(#,##0\)">
                  <c:v>8470</c:v>
                </c:pt>
                <c:pt idx="154" formatCode="#,##0_);[Red]\(#,##0\)">
                  <c:v>8470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DDB-42D6-92FF-AA7E26D0B15D}"/>
            </c:ext>
          </c:extLst>
        </c:ser>
        <c:ser>
          <c:idx val="5"/>
          <c:order val="2"/>
          <c:tx>
            <c:v>가스료</c:v>
          </c:tx>
          <c:spPr>
            <a:ln w="28575">
              <a:solidFill>
                <a:srgbClr val="92D050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92D050"/>
                </a:solidFill>
                <a:prstDash val="sysDash"/>
              </a:ln>
            </c:spPr>
            <c:trendlineType val="power"/>
            <c:dispRSqr val="0"/>
            <c:dispEq val="0"/>
          </c:trendline>
          <c:cat>
            <c:numRef>
              <c:f>(관리비_Kenneth!$A$4:$A$51,관리비_Kenneth!$A$60:$A$169)</c:f>
              <c:numCache>
                <c:formatCode>yyyy/mm</c:formatCode>
                <c:ptCount val="158"/>
                <c:pt idx="0">
                  <c:v>43132</c:v>
                </c:pt>
                <c:pt idx="1">
                  <c:v>43160</c:v>
                </c:pt>
                <c:pt idx="2">
                  <c:v>43191</c:v>
                </c:pt>
                <c:pt idx="3">
                  <c:v>43221</c:v>
                </c:pt>
                <c:pt idx="4">
                  <c:v>43252</c:v>
                </c:pt>
                <c:pt idx="5">
                  <c:v>43282</c:v>
                </c:pt>
                <c:pt idx="6">
                  <c:v>43313</c:v>
                </c:pt>
                <c:pt idx="7">
                  <c:v>43344</c:v>
                </c:pt>
                <c:pt idx="8">
                  <c:v>43374</c:v>
                </c:pt>
                <c:pt idx="9">
                  <c:v>43405</c:v>
                </c:pt>
                <c:pt idx="10">
                  <c:v>43435</c:v>
                </c:pt>
                <c:pt idx="11">
                  <c:v>43466</c:v>
                </c:pt>
                <c:pt idx="12">
                  <c:v>43497</c:v>
                </c:pt>
                <c:pt idx="13">
                  <c:v>43525</c:v>
                </c:pt>
                <c:pt idx="14">
                  <c:v>43556</c:v>
                </c:pt>
                <c:pt idx="15">
                  <c:v>43586</c:v>
                </c:pt>
                <c:pt idx="16">
                  <c:v>43617</c:v>
                </c:pt>
                <c:pt idx="17">
                  <c:v>43647</c:v>
                </c:pt>
                <c:pt idx="18">
                  <c:v>43678</c:v>
                </c:pt>
                <c:pt idx="19">
                  <c:v>43709</c:v>
                </c:pt>
                <c:pt idx="20">
                  <c:v>43739</c:v>
                </c:pt>
                <c:pt idx="21">
                  <c:v>43770</c:v>
                </c:pt>
                <c:pt idx="22">
                  <c:v>43800</c:v>
                </c:pt>
                <c:pt idx="23">
                  <c:v>43831</c:v>
                </c:pt>
                <c:pt idx="24">
                  <c:v>43862</c:v>
                </c:pt>
                <c:pt idx="25">
                  <c:v>43891</c:v>
                </c:pt>
                <c:pt idx="26">
                  <c:v>43922</c:v>
                </c:pt>
                <c:pt idx="27">
                  <c:v>43952</c:v>
                </c:pt>
                <c:pt idx="28">
                  <c:v>43983</c:v>
                </c:pt>
                <c:pt idx="29">
                  <c:v>44013</c:v>
                </c:pt>
                <c:pt idx="30">
                  <c:v>44044</c:v>
                </c:pt>
                <c:pt idx="31">
                  <c:v>44075</c:v>
                </c:pt>
                <c:pt idx="32">
                  <c:v>44105</c:v>
                </c:pt>
                <c:pt idx="33">
                  <c:v>44136</c:v>
                </c:pt>
                <c:pt idx="34">
                  <c:v>44166</c:v>
                </c:pt>
                <c:pt idx="35">
                  <c:v>44197</c:v>
                </c:pt>
                <c:pt idx="36">
                  <c:v>44228</c:v>
                </c:pt>
                <c:pt idx="37">
                  <c:v>44256</c:v>
                </c:pt>
                <c:pt idx="38">
                  <c:v>44287</c:v>
                </c:pt>
                <c:pt idx="39">
                  <c:v>44317</c:v>
                </c:pt>
                <c:pt idx="40">
                  <c:v>44348</c:v>
                </c:pt>
                <c:pt idx="41">
                  <c:v>44378</c:v>
                </c:pt>
                <c:pt idx="42">
                  <c:v>44409</c:v>
                </c:pt>
                <c:pt idx="43">
                  <c:v>44440</c:v>
                </c:pt>
                <c:pt idx="44">
                  <c:v>44470</c:v>
                </c:pt>
                <c:pt idx="45">
                  <c:v>44501</c:v>
                </c:pt>
                <c:pt idx="46">
                  <c:v>44531</c:v>
                </c:pt>
                <c:pt idx="47">
                  <c:v>44562</c:v>
                </c:pt>
                <c:pt idx="48">
                  <c:v>44593</c:v>
                </c:pt>
                <c:pt idx="49">
                  <c:v>44621</c:v>
                </c:pt>
                <c:pt idx="50">
                  <c:v>44652</c:v>
                </c:pt>
                <c:pt idx="51">
                  <c:v>44682</c:v>
                </c:pt>
                <c:pt idx="52">
                  <c:v>44713</c:v>
                </c:pt>
                <c:pt idx="53">
                  <c:v>44743</c:v>
                </c:pt>
                <c:pt idx="54">
                  <c:v>44774</c:v>
                </c:pt>
                <c:pt idx="55">
                  <c:v>44805</c:v>
                </c:pt>
                <c:pt idx="56">
                  <c:v>44835</c:v>
                </c:pt>
                <c:pt idx="57">
                  <c:v>44866</c:v>
                </c:pt>
                <c:pt idx="58">
                  <c:v>44896</c:v>
                </c:pt>
                <c:pt idx="59">
                  <c:v>44927</c:v>
                </c:pt>
                <c:pt idx="60">
                  <c:v>44958</c:v>
                </c:pt>
                <c:pt idx="61">
                  <c:v>44986</c:v>
                </c:pt>
                <c:pt idx="62">
                  <c:v>45017</c:v>
                </c:pt>
                <c:pt idx="63">
                  <c:v>45047</c:v>
                </c:pt>
                <c:pt idx="64">
                  <c:v>45078</c:v>
                </c:pt>
                <c:pt idx="65">
                  <c:v>45108</c:v>
                </c:pt>
                <c:pt idx="66">
                  <c:v>45139</c:v>
                </c:pt>
                <c:pt idx="67">
                  <c:v>45170</c:v>
                </c:pt>
                <c:pt idx="68">
                  <c:v>45200</c:v>
                </c:pt>
                <c:pt idx="69">
                  <c:v>45231</c:v>
                </c:pt>
                <c:pt idx="70">
                  <c:v>45261</c:v>
                </c:pt>
                <c:pt idx="71">
                  <c:v>45292</c:v>
                </c:pt>
                <c:pt idx="72">
                  <c:v>45323</c:v>
                </c:pt>
                <c:pt idx="73">
                  <c:v>45352</c:v>
                </c:pt>
                <c:pt idx="74">
                  <c:v>45383</c:v>
                </c:pt>
                <c:pt idx="75">
                  <c:v>45413</c:v>
                </c:pt>
                <c:pt idx="76">
                  <c:v>45444</c:v>
                </c:pt>
                <c:pt idx="77">
                  <c:v>45474</c:v>
                </c:pt>
                <c:pt idx="78">
                  <c:v>45505</c:v>
                </c:pt>
                <c:pt idx="79">
                  <c:v>45536</c:v>
                </c:pt>
                <c:pt idx="80">
                  <c:v>45566</c:v>
                </c:pt>
                <c:pt idx="81">
                  <c:v>45597</c:v>
                </c:pt>
                <c:pt idx="82">
                  <c:v>45627</c:v>
                </c:pt>
                <c:pt idx="83">
                  <c:v>45658</c:v>
                </c:pt>
                <c:pt idx="84">
                  <c:v>45689</c:v>
                </c:pt>
                <c:pt idx="85">
                  <c:v>45717</c:v>
                </c:pt>
                <c:pt idx="86">
                  <c:v>45748</c:v>
                </c:pt>
                <c:pt idx="87">
                  <c:v>45778</c:v>
                </c:pt>
                <c:pt idx="88">
                  <c:v>45809</c:v>
                </c:pt>
                <c:pt idx="89">
                  <c:v>45839</c:v>
                </c:pt>
                <c:pt idx="90">
                  <c:v>45870</c:v>
                </c:pt>
                <c:pt idx="91">
                  <c:v>45901</c:v>
                </c:pt>
                <c:pt idx="92">
                  <c:v>45931</c:v>
                </c:pt>
                <c:pt idx="93">
                  <c:v>45962</c:v>
                </c:pt>
                <c:pt idx="94">
                  <c:v>45992</c:v>
                </c:pt>
                <c:pt idx="95">
                  <c:v>46023</c:v>
                </c:pt>
                <c:pt idx="96">
                  <c:v>46054</c:v>
                </c:pt>
                <c:pt idx="97">
                  <c:v>46082</c:v>
                </c:pt>
                <c:pt idx="98">
                  <c:v>46113</c:v>
                </c:pt>
                <c:pt idx="99">
                  <c:v>46143</c:v>
                </c:pt>
                <c:pt idx="100">
                  <c:v>46174</c:v>
                </c:pt>
                <c:pt idx="101">
                  <c:v>46204</c:v>
                </c:pt>
                <c:pt idx="102">
                  <c:v>46235</c:v>
                </c:pt>
                <c:pt idx="103">
                  <c:v>46266</c:v>
                </c:pt>
                <c:pt idx="104">
                  <c:v>46296</c:v>
                </c:pt>
                <c:pt idx="105">
                  <c:v>46327</c:v>
                </c:pt>
                <c:pt idx="106">
                  <c:v>46357</c:v>
                </c:pt>
                <c:pt idx="107">
                  <c:v>46388</c:v>
                </c:pt>
                <c:pt idx="108">
                  <c:v>46419</c:v>
                </c:pt>
                <c:pt idx="109">
                  <c:v>46447</c:v>
                </c:pt>
                <c:pt idx="110">
                  <c:v>46478</c:v>
                </c:pt>
                <c:pt idx="111">
                  <c:v>46508</c:v>
                </c:pt>
                <c:pt idx="112">
                  <c:v>46539</c:v>
                </c:pt>
                <c:pt idx="113">
                  <c:v>46569</c:v>
                </c:pt>
                <c:pt idx="114">
                  <c:v>46600</c:v>
                </c:pt>
                <c:pt idx="115">
                  <c:v>46631</c:v>
                </c:pt>
                <c:pt idx="116">
                  <c:v>46661</c:v>
                </c:pt>
                <c:pt idx="117">
                  <c:v>46692</c:v>
                </c:pt>
                <c:pt idx="118">
                  <c:v>46722</c:v>
                </c:pt>
                <c:pt idx="119">
                  <c:v>46753</c:v>
                </c:pt>
                <c:pt idx="120">
                  <c:v>46784</c:v>
                </c:pt>
                <c:pt idx="121">
                  <c:v>46813</c:v>
                </c:pt>
                <c:pt idx="122">
                  <c:v>46844</c:v>
                </c:pt>
                <c:pt idx="123">
                  <c:v>46874</c:v>
                </c:pt>
                <c:pt idx="124">
                  <c:v>46905</c:v>
                </c:pt>
                <c:pt idx="125">
                  <c:v>46935</c:v>
                </c:pt>
                <c:pt idx="126">
                  <c:v>46966</c:v>
                </c:pt>
                <c:pt idx="127">
                  <c:v>46997</c:v>
                </c:pt>
                <c:pt idx="128">
                  <c:v>47027</c:v>
                </c:pt>
                <c:pt idx="129">
                  <c:v>47058</c:v>
                </c:pt>
                <c:pt idx="130">
                  <c:v>47088</c:v>
                </c:pt>
                <c:pt idx="131">
                  <c:v>47119</c:v>
                </c:pt>
                <c:pt idx="132">
                  <c:v>47150</c:v>
                </c:pt>
                <c:pt idx="133">
                  <c:v>47178</c:v>
                </c:pt>
                <c:pt idx="134">
                  <c:v>47209</c:v>
                </c:pt>
                <c:pt idx="135">
                  <c:v>47239</c:v>
                </c:pt>
                <c:pt idx="136">
                  <c:v>47270</c:v>
                </c:pt>
                <c:pt idx="137">
                  <c:v>47300</c:v>
                </c:pt>
                <c:pt idx="138">
                  <c:v>47331</c:v>
                </c:pt>
                <c:pt idx="139">
                  <c:v>47362</c:v>
                </c:pt>
                <c:pt idx="140">
                  <c:v>47392</c:v>
                </c:pt>
                <c:pt idx="141">
                  <c:v>47423</c:v>
                </c:pt>
                <c:pt idx="142">
                  <c:v>47453</c:v>
                </c:pt>
                <c:pt idx="143">
                  <c:v>47484</c:v>
                </c:pt>
                <c:pt idx="144">
                  <c:v>47515</c:v>
                </c:pt>
                <c:pt idx="145">
                  <c:v>47543</c:v>
                </c:pt>
                <c:pt idx="146">
                  <c:v>47574</c:v>
                </c:pt>
                <c:pt idx="147">
                  <c:v>47604</c:v>
                </c:pt>
                <c:pt idx="148">
                  <c:v>47635</c:v>
                </c:pt>
                <c:pt idx="149">
                  <c:v>47665</c:v>
                </c:pt>
                <c:pt idx="150">
                  <c:v>47696</c:v>
                </c:pt>
                <c:pt idx="151">
                  <c:v>47727</c:v>
                </c:pt>
                <c:pt idx="152">
                  <c:v>47757</c:v>
                </c:pt>
                <c:pt idx="153">
                  <c:v>47788</c:v>
                </c:pt>
                <c:pt idx="154">
                  <c:v>47818</c:v>
                </c:pt>
              </c:numCache>
            </c:numRef>
          </c:cat>
          <c:val>
            <c:numRef>
              <c:f>(관리비_Kenneth!$Z$4:$Z$51,관리비_Kenneth!$Z$60:$Z$170)</c:f>
              <c:numCache>
                <c:formatCode>#,##0_ ;[Red]\-#,##0\ </c:formatCode>
                <c:ptCount val="159"/>
                <c:pt idx="2">
                  <c:v>3950</c:v>
                </c:pt>
                <c:pt idx="3">
                  <c:v>0</c:v>
                </c:pt>
                <c:pt idx="4">
                  <c:v>4660</c:v>
                </c:pt>
                <c:pt idx="5">
                  <c:v>0</c:v>
                </c:pt>
                <c:pt idx="6">
                  <c:v>4730</c:v>
                </c:pt>
                <c:pt idx="7">
                  <c:v>0</c:v>
                </c:pt>
                <c:pt idx="8">
                  <c:v>4750</c:v>
                </c:pt>
                <c:pt idx="9">
                  <c:v>0</c:v>
                </c:pt>
                <c:pt idx="10">
                  <c:v>5500</c:v>
                </c:pt>
                <c:pt idx="11">
                  <c:v>0</c:v>
                </c:pt>
                <c:pt idx="12">
                  <c:v>4040</c:v>
                </c:pt>
                <c:pt idx="13">
                  <c:v>0</c:v>
                </c:pt>
                <c:pt idx="14">
                  <c:v>4040</c:v>
                </c:pt>
                <c:pt idx="15">
                  <c:v>0</c:v>
                </c:pt>
                <c:pt idx="16">
                  <c:v>4780</c:v>
                </c:pt>
                <c:pt idx="17">
                  <c:v>0</c:v>
                </c:pt>
                <c:pt idx="18">
                  <c:v>4100</c:v>
                </c:pt>
                <c:pt idx="19">
                  <c:v>0</c:v>
                </c:pt>
                <c:pt idx="20">
                  <c:v>5650</c:v>
                </c:pt>
                <c:pt idx="21">
                  <c:v>0</c:v>
                </c:pt>
                <c:pt idx="22">
                  <c:v>4130</c:v>
                </c:pt>
                <c:pt idx="23">
                  <c:v>0</c:v>
                </c:pt>
                <c:pt idx="24">
                  <c:v>4880</c:v>
                </c:pt>
                <c:pt idx="25">
                  <c:v>0</c:v>
                </c:pt>
                <c:pt idx="26">
                  <c:v>6410</c:v>
                </c:pt>
                <c:pt idx="27">
                  <c:v>0</c:v>
                </c:pt>
                <c:pt idx="28">
                  <c:v>7150</c:v>
                </c:pt>
                <c:pt idx="29">
                  <c:v>0</c:v>
                </c:pt>
                <c:pt idx="30">
                  <c:v>7410</c:v>
                </c:pt>
                <c:pt idx="31">
                  <c:v>0</c:v>
                </c:pt>
                <c:pt idx="32">
                  <c:v>7270</c:v>
                </c:pt>
                <c:pt idx="33">
                  <c:v>0</c:v>
                </c:pt>
                <c:pt idx="34">
                  <c:v>6590</c:v>
                </c:pt>
                <c:pt idx="35">
                  <c:v>0</c:v>
                </c:pt>
                <c:pt idx="36">
                  <c:v>5920</c:v>
                </c:pt>
                <c:pt idx="37">
                  <c:v>0</c:v>
                </c:pt>
                <c:pt idx="38">
                  <c:v>6570</c:v>
                </c:pt>
                <c:pt idx="39">
                  <c:v>0</c:v>
                </c:pt>
                <c:pt idx="40">
                  <c:v>7250</c:v>
                </c:pt>
                <c:pt idx="41">
                  <c:v>0</c:v>
                </c:pt>
                <c:pt idx="42">
                  <c:v>5220</c:v>
                </c:pt>
                <c:pt idx="43">
                  <c:v>0</c:v>
                </c:pt>
                <c:pt idx="44">
                  <c:v>5880</c:v>
                </c:pt>
                <c:pt idx="45">
                  <c:v>0</c:v>
                </c:pt>
                <c:pt idx="46">
                  <c:v>6590</c:v>
                </c:pt>
                <c:pt idx="47">
                  <c:v>0</c:v>
                </c:pt>
                <c:pt idx="48" formatCode="#,##0_);[Red]\(#,##0\)">
                  <c:v>89180</c:v>
                </c:pt>
                <c:pt idx="49" formatCode="#,##0_);[Red]\(#,##0\)">
                  <c:v>73610</c:v>
                </c:pt>
                <c:pt idx="50" formatCode="#,##0_);[Red]\(#,##0\)">
                  <c:v>44860</c:v>
                </c:pt>
                <c:pt idx="51" formatCode="#,##0_);[Red]\(#,##0\)">
                  <c:v>12900</c:v>
                </c:pt>
                <c:pt idx="52" formatCode="#,##0_);[Red]\(#,##0\)">
                  <c:v>9270</c:v>
                </c:pt>
                <c:pt idx="53" formatCode="#,##0_);[Red]\(#,##0\)">
                  <c:v>3070</c:v>
                </c:pt>
                <c:pt idx="54" formatCode="#,##0_);[Red]\(#,##0\)">
                  <c:v>3930</c:v>
                </c:pt>
                <c:pt idx="55" formatCode="#,##0_);[Red]\(#,##0\)">
                  <c:v>3940</c:v>
                </c:pt>
                <c:pt idx="56" formatCode="#,##0_);[Red]\(#,##0\)">
                  <c:v>4850</c:v>
                </c:pt>
                <c:pt idx="57" formatCode="#,##0_);[Red]\(#,##0\)">
                  <c:v>17760</c:v>
                </c:pt>
                <c:pt idx="58" formatCode="#,##0_);[Red]\(#,##0\)">
                  <c:v>51000</c:v>
                </c:pt>
                <c:pt idx="59" formatCode="#,##0_);[Red]\(#,##0\)">
                  <c:v>143150</c:v>
                </c:pt>
                <c:pt idx="60" formatCode="#,##0_);[Red]\(#,##0\)">
                  <c:v>147550</c:v>
                </c:pt>
                <c:pt idx="61" formatCode="#,##0_);[Red]\(#,##0\)">
                  <c:v>91580</c:v>
                </c:pt>
                <c:pt idx="62" formatCode="#,##0_);[Red]\(#,##0\)">
                  <c:v>41370</c:v>
                </c:pt>
                <c:pt idx="63" formatCode="#,##0_);[Red]\(#,##0\)">
                  <c:v>17440</c:v>
                </c:pt>
                <c:pt idx="64" formatCode="#,##0_);[Red]\(#,##0\)">
                  <c:v>7470</c:v>
                </c:pt>
                <c:pt idx="65" formatCode="#,##0_);[Red]\(#,##0\)">
                  <c:v>4700</c:v>
                </c:pt>
                <c:pt idx="66" formatCode="#,##0_);[Red]\(#,##0\)">
                  <c:v>3940</c:v>
                </c:pt>
                <c:pt idx="67" formatCode="#,##0_);[Red]\(#,##0\)">
                  <c:v>2960</c:v>
                </c:pt>
                <c:pt idx="68" formatCode="#,##0_);[Red]\(#,##0\)">
                  <c:v>3920</c:v>
                </c:pt>
                <c:pt idx="69" formatCode="#,##0_);[Red]\(#,##0\)">
                  <c:v>11710</c:v>
                </c:pt>
                <c:pt idx="70" formatCode="#,##0_);[Red]\(#,##0\)">
                  <c:v>85980</c:v>
                </c:pt>
                <c:pt idx="71" formatCode="#,##0_);[Red]\(#,##0\)">
                  <c:v>50100</c:v>
                </c:pt>
                <c:pt idx="72" formatCode="#,##0_);[Red]\(#,##0\)">
                  <c:v>131620</c:v>
                </c:pt>
                <c:pt idx="73" formatCode="#,##0_);[Red]\(#,##0\)">
                  <c:v>72930</c:v>
                </c:pt>
                <c:pt idx="74" formatCode="#,##0_);[Red]\(#,##0\)">
                  <c:v>42450</c:v>
                </c:pt>
                <c:pt idx="75" formatCode="#,##0_);[Red]\(#,##0\)">
                  <c:v>8200</c:v>
                </c:pt>
                <c:pt idx="76" formatCode="#,##0_);[Red]\(#,##0\)">
                  <c:v>6240</c:v>
                </c:pt>
                <c:pt idx="77" formatCode="#,##0_);[Red]\(#,##0\)">
                  <c:v>4290</c:v>
                </c:pt>
                <c:pt idx="78" formatCode="#,##0_);[Red]\(#,##0\)">
                  <c:v>2350</c:v>
                </c:pt>
                <c:pt idx="79" formatCode="#,##0_);[Red]\(#,##0\)">
                  <c:v>1370</c:v>
                </c:pt>
                <c:pt idx="80" formatCode="#,##0_);[Red]\(#,##0\)">
                  <c:v>1370</c:v>
                </c:pt>
                <c:pt idx="81" formatCode="#,##0_);[Red]\(#,##0\)">
                  <c:v>6600</c:v>
                </c:pt>
                <c:pt idx="82" formatCode="#,##0_);[Red]\(#,##0\)">
                  <c:v>47280</c:v>
                </c:pt>
                <c:pt idx="83" formatCode="#,##0_);[Red]\(#,##0\)">
                  <c:v>111620</c:v>
                </c:pt>
                <c:pt idx="84" formatCode="#,##0_);[Red]\(#,##0\)">
                  <c:v>150180</c:v>
                </c:pt>
                <c:pt idx="85" formatCode="#,##0_);[Red]\(#,##0\)">
                  <c:v>102660</c:v>
                </c:pt>
                <c:pt idx="86" formatCode="#,##0_);[Red]\(#,##0\)">
                  <c:v>56600</c:v>
                </c:pt>
                <c:pt idx="87" formatCode="#,##0_);[Red]\(#,##0\)">
                  <c:v>12780</c:v>
                </c:pt>
                <c:pt idx="88" formatCode="#,##0_);[Red]\(#,##0\)">
                  <c:v>6190</c:v>
                </c:pt>
                <c:pt idx="89" formatCode="#,##0_);[Red]\(#,##0\)">
                  <c:v>2350</c:v>
                </c:pt>
                <c:pt idx="90" formatCode="#,##0_);[Red]\(#,##0\)">
                  <c:v>1370</c:v>
                </c:pt>
                <c:pt idx="91" formatCode="#,##0_);[Red]\(#,##0\)">
                  <c:v>1370</c:v>
                </c:pt>
                <c:pt idx="92" formatCode="#,##0_);[Red]\(#,##0\)">
                  <c:v>1370</c:v>
                </c:pt>
                <c:pt idx="93" formatCode="#,##0_);[Red]\(#,##0\)">
                  <c:v>13480</c:v>
                </c:pt>
                <c:pt idx="94" formatCode="#,##0_);[Red]\(#,##0\)">
                  <c:v>58570</c:v>
                </c:pt>
                <c:pt idx="95" formatCode="#,##0_);[Red]\(#,##0\)">
                  <c:v>97120</c:v>
                </c:pt>
                <c:pt idx="96" formatCode="#,##0_);[Red]\(#,##0\)">
                  <c:v>133600</c:v>
                </c:pt>
                <c:pt idx="97" formatCode="#,##0_);[Red]\(#,##0\)">
                  <c:v>81650</c:v>
                </c:pt>
                <c:pt idx="98" formatCode="#,##0_);[Red]\(#,##0\)">
                  <c:v>50480</c:v>
                </c:pt>
                <c:pt idx="99" formatCode="#,##0_);[Red]\(#,##0\)">
                  <c:v>12830</c:v>
                </c:pt>
                <c:pt idx="100" formatCode="#,##0_);[Red]\(#,##0\)">
                  <c:v>7060</c:v>
                </c:pt>
                <c:pt idx="101" formatCode="#,##0_);[Red]\(#,##0\)">
                  <c:v>3970</c:v>
                </c:pt>
                <c:pt idx="102" formatCode="#,##0_);[Red]\(#,##0\)">
                  <c:v>3970</c:v>
                </c:pt>
                <c:pt idx="103" formatCode="#,##0_);[Red]\(#,##0\)">
                  <c:v>3970</c:v>
                </c:pt>
                <c:pt idx="104" formatCode="#,##0_);[Red]\(#,##0\)">
                  <c:v>3970</c:v>
                </c:pt>
                <c:pt idx="105" formatCode="#,##0_);[Red]\(#,##0\)">
                  <c:v>25805</c:v>
                </c:pt>
                <c:pt idx="106" formatCode="#,##0_);[Red]\(#,##0\)">
                  <c:v>107190</c:v>
                </c:pt>
                <c:pt idx="107" formatCode="#,##0_);[Red]\(#,##0\)">
                  <c:v>131300</c:v>
                </c:pt>
                <c:pt idx="108" formatCode="#,##0_);[Red]\(#,##0\)">
                  <c:v>132600</c:v>
                </c:pt>
                <c:pt idx="109" formatCode="#,##0_);[Red]\(#,##0\)">
                  <c:v>110160</c:v>
                </c:pt>
                <c:pt idx="110" formatCode="#,##0_);[Red]\(#,##0\)">
                  <c:v>67320</c:v>
                </c:pt>
                <c:pt idx="111" formatCode="#,##0_);[Red]\(#,##0\)">
                  <c:v>17340</c:v>
                </c:pt>
                <c:pt idx="112" formatCode="#,##0_);[Red]\(#,##0\)">
                  <c:v>11220</c:v>
                </c:pt>
                <c:pt idx="113" formatCode="#,##0_);[Red]\(#,##0\)">
                  <c:v>4080</c:v>
                </c:pt>
                <c:pt idx="114" formatCode="#,##0_);[Red]\(#,##0\)">
                  <c:v>4080</c:v>
                </c:pt>
                <c:pt idx="115" formatCode="#,##0_);[Red]\(#,##0\)">
                  <c:v>4080</c:v>
                </c:pt>
                <c:pt idx="116" formatCode="#,##0_);[Red]\(#,##0\)">
                  <c:v>5100</c:v>
                </c:pt>
                <c:pt idx="117" formatCode="#,##0_);[Red]\(#,##0\)">
                  <c:v>18360</c:v>
                </c:pt>
                <c:pt idx="118" formatCode="#,##0_);[Red]\(#,##0\)">
                  <c:v>55080</c:v>
                </c:pt>
                <c:pt idx="119" formatCode="#,##0_);[Red]\(#,##0\)">
                  <c:v>132600</c:v>
                </c:pt>
                <c:pt idx="120" formatCode="#,##0_);[Red]\(#,##0\)">
                  <c:v>133900</c:v>
                </c:pt>
                <c:pt idx="121" formatCode="#,##0_);[Red]\(#,##0\)">
                  <c:v>111240</c:v>
                </c:pt>
                <c:pt idx="122" formatCode="#,##0_);[Red]\(#,##0\)">
                  <c:v>67980</c:v>
                </c:pt>
                <c:pt idx="123" formatCode="#,##0_);[Red]\(#,##0\)">
                  <c:v>17510</c:v>
                </c:pt>
                <c:pt idx="124" formatCode="#,##0_);[Red]\(#,##0\)">
                  <c:v>11330</c:v>
                </c:pt>
                <c:pt idx="125" formatCode="#,##0_);[Red]\(#,##0\)">
                  <c:v>4120</c:v>
                </c:pt>
                <c:pt idx="126" formatCode="#,##0_);[Red]\(#,##0\)">
                  <c:v>4120</c:v>
                </c:pt>
                <c:pt idx="127" formatCode="#,##0_);[Red]\(#,##0\)">
                  <c:v>4120</c:v>
                </c:pt>
                <c:pt idx="128" formatCode="#,##0_);[Red]\(#,##0\)">
                  <c:v>5150</c:v>
                </c:pt>
                <c:pt idx="129" formatCode="#,##0_);[Red]\(#,##0\)">
                  <c:v>18540</c:v>
                </c:pt>
                <c:pt idx="130" formatCode="#,##0_);[Red]\(#,##0\)">
                  <c:v>55620</c:v>
                </c:pt>
                <c:pt idx="131" formatCode="#,##0_);[Red]\(#,##0\)">
                  <c:v>133900</c:v>
                </c:pt>
                <c:pt idx="132" formatCode="#,##0_);[Red]\(#,##0\)">
                  <c:v>135200</c:v>
                </c:pt>
                <c:pt idx="133" formatCode="#,##0_);[Red]\(#,##0\)">
                  <c:v>112320</c:v>
                </c:pt>
                <c:pt idx="134" formatCode="#,##0_);[Red]\(#,##0\)">
                  <c:v>68640</c:v>
                </c:pt>
                <c:pt idx="135" formatCode="#,##0_);[Red]\(#,##0\)">
                  <c:v>17680</c:v>
                </c:pt>
                <c:pt idx="136" formatCode="#,##0_);[Red]\(#,##0\)">
                  <c:v>11440</c:v>
                </c:pt>
                <c:pt idx="137" formatCode="#,##0_);[Red]\(#,##0\)">
                  <c:v>4160</c:v>
                </c:pt>
                <c:pt idx="138" formatCode="#,##0_);[Red]\(#,##0\)">
                  <c:v>4160</c:v>
                </c:pt>
                <c:pt idx="139" formatCode="#,##0_);[Red]\(#,##0\)">
                  <c:v>4160</c:v>
                </c:pt>
                <c:pt idx="140" formatCode="#,##0_);[Red]\(#,##0\)">
                  <c:v>5200</c:v>
                </c:pt>
                <c:pt idx="141" formatCode="#,##0_);[Red]\(#,##0\)">
                  <c:v>18720</c:v>
                </c:pt>
                <c:pt idx="142" formatCode="#,##0_);[Red]\(#,##0\)">
                  <c:v>56160</c:v>
                </c:pt>
                <c:pt idx="143" formatCode="#,##0_);[Red]\(#,##0\)">
                  <c:v>135200</c:v>
                </c:pt>
                <c:pt idx="144" formatCode="#,##0_);[Red]\(#,##0\)">
                  <c:v>136500</c:v>
                </c:pt>
                <c:pt idx="145" formatCode="#,##0_);[Red]\(#,##0\)">
                  <c:v>113400</c:v>
                </c:pt>
                <c:pt idx="146" formatCode="#,##0_);[Red]\(#,##0\)">
                  <c:v>69300</c:v>
                </c:pt>
                <c:pt idx="147" formatCode="#,##0_);[Red]\(#,##0\)">
                  <c:v>17850</c:v>
                </c:pt>
                <c:pt idx="148" formatCode="#,##0_);[Red]\(#,##0\)">
                  <c:v>11550</c:v>
                </c:pt>
                <c:pt idx="149" formatCode="#,##0_);[Red]\(#,##0\)">
                  <c:v>4200</c:v>
                </c:pt>
                <c:pt idx="150" formatCode="#,##0_);[Red]\(#,##0\)">
                  <c:v>4200</c:v>
                </c:pt>
                <c:pt idx="151" formatCode="#,##0_);[Red]\(#,##0\)">
                  <c:v>4200</c:v>
                </c:pt>
                <c:pt idx="152" formatCode="#,##0_);[Red]\(#,##0\)">
                  <c:v>5250</c:v>
                </c:pt>
                <c:pt idx="153" formatCode="#,##0_);[Red]\(#,##0\)">
                  <c:v>18900</c:v>
                </c:pt>
                <c:pt idx="154" formatCode="#,##0_);[Red]\(#,##0\)">
                  <c:v>56700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DDB-42D6-92FF-AA7E26D0B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443208"/>
        <c:axId val="506441248"/>
      </c:lineChart>
      <c:dateAx>
        <c:axId val="506446344"/>
        <c:scaling>
          <c:orientation val="minMax"/>
          <c:max val="47849"/>
          <c:min val="43101"/>
        </c:scaling>
        <c:delete val="0"/>
        <c:axPos val="b"/>
        <c:majorGridlines>
          <c:spPr>
            <a:ln w="3175">
              <a:solidFill>
                <a:schemeClr val="bg1">
                  <a:lumMod val="75000"/>
                </a:schemeClr>
              </a:solidFill>
            </a:ln>
          </c:spPr>
        </c:majorGridlines>
        <c:minorGridlines>
          <c:spPr>
            <a:ln w="3175">
              <a:solidFill>
                <a:schemeClr val="bg1">
                  <a:lumMod val="95000"/>
                </a:schemeClr>
              </a:solidFill>
            </a:ln>
          </c:spPr>
        </c:minorGridlines>
        <c:numFmt formatCode="yyyy" sourceLinked="0"/>
        <c:majorTickMark val="none"/>
        <c:minorTickMark val="none"/>
        <c:tickLblPos val="nextTo"/>
        <c:spPr>
          <a:ln w="3175">
            <a:solidFill>
              <a:schemeClr val="bg1">
                <a:lumMod val="95000"/>
              </a:schemeClr>
            </a:solidFill>
          </a:ln>
        </c:spPr>
        <c:txPr>
          <a:bodyPr rot="-2700000" vert="horz"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06448696"/>
        <c:crosses val="autoZero"/>
        <c:auto val="1"/>
        <c:lblOffset val="100"/>
        <c:baseTimeUnit val="months"/>
        <c:majorUnit val="12"/>
        <c:majorTimeUnit val="months"/>
        <c:minorUnit val="1"/>
        <c:minorTimeUnit val="months"/>
      </c:dateAx>
      <c:valAx>
        <c:axId val="506448696"/>
        <c:scaling>
          <c:orientation val="minMax"/>
          <c:max val="380000"/>
        </c:scaling>
        <c:delete val="0"/>
        <c:axPos val="l"/>
        <c:majorGridlines>
          <c:spPr>
            <a:ln w="3175">
              <a:solidFill>
                <a:schemeClr val="bg1">
                  <a:lumMod val="95000"/>
                </a:schemeClr>
              </a:solidFill>
            </a:ln>
          </c:spPr>
        </c:majorGridlines>
        <c:numFmt formatCode="#,##0_ ;[Red]\-#,##0\ " sourceLinked="1"/>
        <c:majorTickMark val="none"/>
        <c:minorTickMark val="none"/>
        <c:tickLblPos val="high"/>
        <c:spPr>
          <a:noFill/>
          <a:ln>
            <a:noFill/>
          </a:ln>
        </c:spPr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06446344"/>
        <c:crossesAt val="0"/>
        <c:crossBetween val="midCat"/>
        <c:dispUnits>
          <c:builtInUnit val="thousands"/>
          <c:dispUnitsLbl/>
        </c:dispUnits>
      </c:valAx>
      <c:valAx>
        <c:axId val="506441248"/>
        <c:scaling>
          <c:orientation val="minMax"/>
          <c:max val="260000"/>
          <c:min val="0"/>
        </c:scaling>
        <c:delete val="0"/>
        <c:axPos val="l"/>
        <c:numFmt formatCode="#,##0_ ;[Red]\-#,##0\ " sourceLinked="1"/>
        <c:majorTickMark val="none"/>
        <c:minorTickMark val="none"/>
        <c:tickLblPos val="nextTo"/>
        <c:spPr>
          <a:ln w="3175">
            <a:solidFill>
              <a:schemeClr val="bg1">
                <a:lumMod val="9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06443208"/>
        <c:crosses val="autoZero"/>
        <c:crossBetween val="between"/>
        <c:majorUnit val="20000"/>
        <c:dispUnits>
          <c:builtInUnit val="thousands"/>
        </c:dispUnits>
      </c:valAx>
      <c:dateAx>
        <c:axId val="506443208"/>
        <c:scaling>
          <c:orientation val="minMax"/>
        </c:scaling>
        <c:delete val="1"/>
        <c:axPos val="b"/>
        <c:numFmt formatCode="yyyy/mm" sourceLinked="1"/>
        <c:majorTickMark val="out"/>
        <c:minorTickMark val="none"/>
        <c:tickLblPos val="nextTo"/>
        <c:crossAx val="506441248"/>
        <c:crosses val="autoZero"/>
        <c:auto val="1"/>
        <c:lblOffset val="100"/>
        <c:baseTimeUnit val="months"/>
        <c:majorUnit val="1"/>
        <c:minorUnit val="1"/>
      </c:dateAx>
      <c:spPr>
        <a:ln>
          <a:noFill/>
        </a:ln>
      </c:spPr>
    </c:plotArea>
    <c:legend>
      <c:legendPos val="b"/>
      <c:overlay val="0"/>
      <c:txPr>
        <a:bodyPr/>
        <a:lstStyle/>
        <a:p>
          <a:pPr>
            <a:defRPr>
              <a:solidFill>
                <a:schemeClr val="tx1">
                  <a:lumMod val="50000"/>
                  <a:lumOff val="50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000">
                <a:solidFill>
                  <a:schemeClr val="tx1">
                    <a:lumMod val="75000"/>
                    <a:lumOff val="25000"/>
                  </a:schemeClr>
                </a:solidFill>
              </a:rPr>
              <a:t>전기 사용량</a:t>
            </a:r>
          </a:p>
        </c:rich>
      </c:tx>
      <c:layout>
        <c:manualLayout>
          <c:xMode val="edge"/>
          <c:yMode val="edge"/>
          <c:x val="4.9280287232862943E-2"/>
          <c:y val="2.4410519588480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710104096459102E-2"/>
          <c:y val="2.4240979773222884E-2"/>
          <c:w val="0.88525243460294667"/>
          <c:h val="0.79777758176975233"/>
        </c:manualLayout>
      </c:layout>
      <c:barChart>
        <c:barDir val="col"/>
        <c:grouping val="clustered"/>
        <c:varyColors val="0"/>
        <c:ser>
          <c:idx val="4"/>
          <c:order val="0"/>
          <c:tx>
            <c:v>2018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관리비_Kenneth!$AB$4:$AB$15</c:f>
              <c:numCache>
                <c:formatCode>#,##0_ ;[Red]\-#,##0\ </c:formatCode>
                <c:ptCount val="12"/>
                <c:pt idx="2">
                  <c:v>154</c:v>
                </c:pt>
                <c:pt idx="3">
                  <c:v>193</c:v>
                </c:pt>
                <c:pt idx="4">
                  <c:v>156</c:v>
                </c:pt>
                <c:pt idx="5">
                  <c:v>185</c:v>
                </c:pt>
                <c:pt idx="6">
                  <c:v>169</c:v>
                </c:pt>
                <c:pt idx="7">
                  <c:v>375</c:v>
                </c:pt>
                <c:pt idx="8">
                  <c:v>199</c:v>
                </c:pt>
                <c:pt idx="9">
                  <c:v>200</c:v>
                </c:pt>
                <c:pt idx="10">
                  <c:v>211</c:v>
                </c:pt>
                <c:pt idx="11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0-4902-8F1D-B5692992990C}"/>
            </c:ext>
          </c:extLst>
        </c:ser>
        <c:ser>
          <c:idx val="5"/>
          <c:order val="1"/>
          <c:tx>
            <c:v>2019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관리비_Kenneth!$AB$16:$AB$27</c:f>
              <c:numCache>
                <c:formatCode>#,##0_ ;[Red]\-#,##0\ </c:formatCode>
                <c:ptCount val="12"/>
                <c:pt idx="0">
                  <c:v>246</c:v>
                </c:pt>
                <c:pt idx="1">
                  <c:v>217</c:v>
                </c:pt>
                <c:pt idx="2">
                  <c:v>171</c:v>
                </c:pt>
                <c:pt idx="3">
                  <c:v>182</c:v>
                </c:pt>
                <c:pt idx="4">
                  <c:v>141</c:v>
                </c:pt>
                <c:pt idx="5">
                  <c:v>147</c:v>
                </c:pt>
                <c:pt idx="6">
                  <c:v>150</c:v>
                </c:pt>
                <c:pt idx="7">
                  <c:v>246</c:v>
                </c:pt>
                <c:pt idx="8">
                  <c:v>160</c:v>
                </c:pt>
                <c:pt idx="9">
                  <c:v>126</c:v>
                </c:pt>
                <c:pt idx="10">
                  <c:v>125</c:v>
                </c:pt>
                <c:pt idx="11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F0-4902-8F1D-B5692992990C}"/>
            </c:ext>
          </c:extLst>
        </c:ser>
        <c:ser>
          <c:idx val="6"/>
          <c:order val="2"/>
          <c:tx>
            <c:v>2020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관리비_Kenneth!$AB$28:$AB$39</c:f>
              <c:numCache>
                <c:formatCode>#,##0_ ;[Red]\-#,##0\ </c:formatCode>
                <c:ptCount val="12"/>
                <c:pt idx="0">
                  <c:v>185</c:v>
                </c:pt>
                <c:pt idx="1">
                  <c:v>217</c:v>
                </c:pt>
                <c:pt idx="2">
                  <c:v>209</c:v>
                </c:pt>
                <c:pt idx="3">
                  <c:v>201</c:v>
                </c:pt>
                <c:pt idx="4">
                  <c:v>167</c:v>
                </c:pt>
                <c:pt idx="5">
                  <c:v>217</c:v>
                </c:pt>
                <c:pt idx="6">
                  <c:v>168</c:v>
                </c:pt>
                <c:pt idx="7">
                  <c:v>261</c:v>
                </c:pt>
                <c:pt idx="8">
                  <c:v>221</c:v>
                </c:pt>
                <c:pt idx="9">
                  <c:v>149</c:v>
                </c:pt>
                <c:pt idx="10">
                  <c:v>186</c:v>
                </c:pt>
                <c:pt idx="1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F0-4902-8F1D-B5692992990C}"/>
            </c:ext>
          </c:extLst>
        </c:ser>
        <c:ser>
          <c:idx val="7"/>
          <c:order val="3"/>
          <c:tx>
            <c:v>2021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관리비_Kenneth!$AB$40:$AB$51</c:f>
              <c:numCache>
                <c:formatCode>#,##0_ ;[Red]\-#,##0\ </c:formatCode>
                <c:ptCount val="12"/>
                <c:pt idx="0">
                  <c:v>227</c:v>
                </c:pt>
                <c:pt idx="1">
                  <c:v>185</c:v>
                </c:pt>
                <c:pt idx="2">
                  <c:v>155</c:v>
                </c:pt>
                <c:pt idx="3">
                  <c:v>168</c:v>
                </c:pt>
                <c:pt idx="4">
                  <c:v>171</c:v>
                </c:pt>
                <c:pt idx="5">
                  <c:v>151</c:v>
                </c:pt>
                <c:pt idx="6">
                  <c:v>226</c:v>
                </c:pt>
                <c:pt idx="7">
                  <c:v>205</c:v>
                </c:pt>
                <c:pt idx="8">
                  <c:v>151</c:v>
                </c:pt>
                <c:pt idx="9">
                  <c:v>168</c:v>
                </c:pt>
                <c:pt idx="10">
                  <c:v>196</c:v>
                </c:pt>
                <c:pt idx="1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F0-4902-8F1D-B5692992990C}"/>
            </c:ext>
          </c:extLst>
        </c:ser>
        <c:ser>
          <c:idx val="8"/>
          <c:order val="4"/>
          <c:tx>
            <c:v>2022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관리비_Kenneth!$AB$60:$AB$71</c:f>
              <c:numCache>
                <c:formatCode>#,##0_);[Red]\(#,##0\)</c:formatCode>
                <c:ptCount val="12"/>
                <c:pt idx="0">
                  <c:v>279</c:v>
                </c:pt>
                <c:pt idx="1">
                  <c:v>273</c:v>
                </c:pt>
                <c:pt idx="2">
                  <c:v>224</c:v>
                </c:pt>
                <c:pt idx="3">
                  <c:v>204</c:v>
                </c:pt>
                <c:pt idx="4">
                  <c:v>173</c:v>
                </c:pt>
                <c:pt idx="5">
                  <c:v>183</c:v>
                </c:pt>
                <c:pt idx="6">
                  <c:v>228</c:v>
                </c:pt>
                <c:pt idx="7">
                  <c:v>304</c:v>
                </c:pt>
                <c:pt idx="8">
                  <c:v>257</c:v>
                </c:pt>
                <c:pt idx="9">
                  <c:v>186</c:v>
                </c:pt>
                <c:pt idx="10">
                  <c:v>190</c:v>
                </c:pt>
                <c:pt idx="11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F0-4902-8F1D-B5692992990C}"/>
            </c:ext>
          </c:extLst>
        </c:ser>
        <c:ser>
          <c:idx val="10"/>
          <c:order val="5"/>
          <c:tx>
            <c:v>2023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관리비_Kenneth!$AB$72:$AB$83</c:f>
              <c:numCache>
                <c:formatCode>#,##0_);[Red]\(#,##0\)</c:formatCode>
                <c:ptCount val="12"/>
                <c:pt idx="0">
                  <c:v>231</c:v>
                </c:pt>
                <c:pt idx="1">
                  <c:v>198</c:v>
                </c:pt>
                <c:pt idx="2">
                  <c:v>199</c:v>
                </c:pt>
                <c:pt idx="3">
                  <c:v>187</c:v>
                </c:pt>
                <c:pt idx="4">
                  <c:v>187</c:v>
                </c:pt>
                <c:pt idx="5">
                  <c:v>182</c:v>
                </c:pt>
                <c:pt idx="6">
                  <c:v>231</c:v>
                </c:pt>
                <c:pt idx="7">
                  <c:v>320</c:v>
                </c:pt>
                <c:pt idx="8">
                  <c:v>305</c:v>
                </c:pt>
                <c:pt idx="9">
                  <c:v>222</c:v>
                </c:pt>
                <c:pt idx="10">
                  <c:v>219</c:v>
                </c:pt>
                <c:pt idx="11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F0-4902-8F1D-B5692992990C}"/>
            </c:ext>
          </c:extLst>
        </c:ser>
        <c:ser>
          <c:idx val="12"/>
          <c:order val="6"/>
          <c:tx>
            <c:v>2024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관리비_Kenneth!$AB$84:$AB$95</c:f>
              <c:numCache>
                <c:formatCode>#,##0_);[Red]\(#,##0\)</c:formatCode>
                <c:ptCount val="12"/>
                <c:pt idx="0">
                  <c:v>113</c:v>
                </c:pt>
                <c:pt idx="1">
                  <c:v>250</c:v>
                </c:pt>
                <c:pt idx="2">
                  <c:v>207</c:v>
                </c:pt>
                <c:pt idx="3">
                  <c:v>227</c:v>
                </c:pt>
                <c:pt idx="4">
                  <c:v>201</c:v>
                </c:pt>
                <c:pt idx="5">
                  <c:v>211</c:v>
                </c:pt>
                <c:pt idx="6">
                  <c:v>255</c:v>
                </c:pt>
                <c:pt idx="7">
                  <c:v>363</c:v>
                </c:pt>
                <c:pt idx="8">
                  <c:v>371</c:v>
                </c:pt>
                <c:pt idx="9">
                  <c:v>291</c:v>
                </c:pt>
                <c:pt idx="10">
                  <c:v>208</c:v>
                </c:pt>
                <c:pt idx="11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F0-4902-8F1D-B5692992990C}"/>
            </c:ext>
          </c:extLst>
        </c:ser>
        <c:ser>
          <c:idx val="0"/>
          <c:order val="7"/>
          <c:tx>
            <c:v>2025</c:v>
          </c:tx>
          <c:spPr>
            <a:solidFill>
              <a:srgbClr val="C0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관리비_Kenneth!$B$96:$B$107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관리비_Kenneth!$AB$96:$AB$107</c:f>
              <c:numCache>
                <c:formatCode>#,##0_);[Red]\(#,##0\)</c:formatCode>
                <c:ptCount val="12"/>
                <c:pt idx="0">
                  <c:v>258</c:v>
                </c:pt>
                <c:pt idx="1">
                  <c:v>271</c:v>
                </c:pt>
                <c:pt idx="2">
                  <c:v>224</c:v>
                </c:pt>
                <c:pt idx="3">
                  <c:v>220</c:v>
                </c:pt>
                <c:pt idx="4">
                  <c:v>200</c:v>
                </c:pt>
                <c:pt idx="5">
                  <c:v>239</c:v>
                </c:pt>
                <c:pt idx="6">
                  <c:v>310</c:v>
                </c:pt>
                <c:pt idx="7">
                  <c:v>399</c:v>
                </c:pt>
                <c:pt idx="8">
                  <c:v>360</c:v>
                </c:pt>
                <c:pt idx="9">
                  <c:v>222</c:v>
                </c:pt>
                <c:pt idx="10">
                  <c:v>209</c:v>
                </c:pt>
                <c:pt idx="1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F0-4902-8F1D-B5692992990C}"/>
            </c:ext>
          </c:extLst>
        </c:ser>
        <c:ser>
          <c:idx val="2"/>
          <c:order val="8"/>
          <c:tx>
            <c:v>2026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관리비_Kenneth!$AB$108:$AB$119</c:f>
              <c:numCache>
                <c:formatCode>#,##0_);[Red]\(#,##0\)</c:formatCode>
                <c:ptCount val="12"/>
                <c:pt idx="0">
                  <c:v>233</c:v>
                </c:pt>
                <c:pt idx="1">
                  <c:v>247</c:v>
                </c:pt>
                <c:pt idx="2">
                  <c:v>216</c:v>
                </c:pt>
                <c:pt idx="3">
                  <c:v>221</c:v>
                </c:pt>
                <c:pt idx="4">
                  <c:v>196</c:v>
                </c:pt>
                <c:pt idx="5">
                  <c:v>201</c:v>
                </c:pt>
                <c:pt idx="6">
                  <c:v>214</c:v>
                </c:pt>
                <c:pt idx="7">
                  <c:v>291</c:v>
                </c:pt>
                <c:pt idx="8">
                  <c:v>325</c:v>
                </c:pt>
                <c:pt idx="9">
                  <c:v>230</c:v>
                </c:pt>
                <c:pt idx="10">
                  <c:v>215</c:v>
                </c:pt>
                <c:pt idx="11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F0-4902-8F1D-B56929929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441640"/>
        <c:axId val="506444776"/>
      </c:barChart>
      <c:lineChart>
        <c:grouping val="standard"/>
        <c:varyColors val="0"/>
        <c:ser>
          <c:idx val="14"/>
          <c:order val="9"/>
          <c:tx>
            <c:v>2018선</c:v>
          </c:tx>
          <c:spPr>
            <a:ln w="12700" cap="rnd" cmpd="sng" algn="ctr">
              <a:solidFill>
                <a:schemeClr val="accent5">
                  <a:lumMod val="60000"/>
                  <a:lumOff val="4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관리비_Kenneth!$AB$4:$AB$15</c:f>
              <c:numCache>
                <c:formatCode>#,##0_ ;[Red]\-#,##0\ </c:formatCode>
                <c:ptCount val="12"/>
                <c:pt idx="2">
                  <c:v>154</c:v>
                </c:pt>
                <c:pt idx="3">
                  <c:v>193</c:v>
                </c:pt>
                <c:pt idx="4">
                  <c:v>156</c:v>
                </c:pt>
                <c:pt idx="5">
                  <c:v>185</c:v>
                </c:pt>
                <c:pt idx="6">
                  <c:v>169</c:v>
                </c:pt>
                <c:pt idx="7">
                  <c:v>375</c:v>
                </c:pt>
                <c:pt idx="8">
                  <c:v>199</c:v>
                </c:pt>
                <c:pt idx="9">
                  <c:v>200</c:v>
                </c:pt>
                <c:pt idx="10">
                  <c:v>211</c:v>
                </c:pt>
                <c:pt idx="11">
                  <c:v>204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6F0-4902-8F1D-B5692992990C}"/>
            </c:ext>
          </c:extLst>
        </c:ser>
        <c:ser>
          <c:idx val="15"/>
          <c:order val="10"/>
          <c:tx>
            <c:v>2019선</c:v>
          </c:tx>
          <c:spPr>
            <a:ln w="12700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관리비_Kenneth!$AB$16:$AB$27</c:f>
              <c:numCache>
                <c:formatCode>#,##0_ ;[Red]\-#,##0\ </c:formatCode>
                <c:ptCount val="12"/>
                <c:pt idx="0">
                  <c:v>246</c:v>
                </c:pt>
                <c:pt idx="1">
                  <c:v>217</c:v>
                </c:pt>
                <c:pt idx="2">
                  <c:v>171</c:v>
                </c:pt>
                <c:pt idx="3">
                  <c:v>182</c:v>
                </c:pt>
                <c:pt idx="4">
                  <c:v>141</c:v>
                </c:pt>
                <c:pt idx="5">
                  <c:v>147</c:v>
                </c:pt>
                <c:pt idx="6">
                  <c:v>150</c:v>
                </c:pt>
                <c:pt idx="7">
                  <c:v>246</c:v>
                </c:pt>
                <c:pt idx="8">
                  <c:v>160</c:v>
                </c:pt>
                <c:pt idx="9">
                  <c:v>126</c:v>
                </c:pt>
                <c:pt idx="10">
                  <c:v>125</c:v>
                </c:pt>
                <c:pt idx="11">
                  <c:v>160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6F0-4902-8F1D-B5692992990C}"/>
            </c:ext>
          </c:extLst>
        </c:ser>
        <c:ser>
          <c:idx val="16"/>
          <c:order val="11"/>
          <c:tx>
            <c:v>2020선</c:v>
          </c:tx>
          <c:spPr>
            <a:ln w="12700" cap="rnd" cmpd="sng" algn="ctr">
              <a:solidFill>
                <a:schemeClr val="accent3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관리비_Kenneth!$AB$28:$AB$39</c:f>
              <c:numCache>
                <c:formatCode>#,##0_ ;[Red]\-#,##0\ </c:formatCode>
                <c:ptCount val="12"/>
                <c:pt idx="0">
                  <c:v>185</c:v>
                </c:pt>
                <c:pt idx="1">
                  <c:v>217</c:v>
                </c:pt>
                <c:pt idx="2">
                  <c:v>209</c:v>
                </c:pt>
                <c:pt idx="3">
                  <c:v>201</c:v>
                </c:pt>
                <c:pt idx="4">
                  <c:v>167</c:v>
                </c:pt>
                <c:pt idx="5">
                  <c:v>217</c:v>
                </c:pt>
                <c:pt idx="6">
                  <c:v>168</c:v>
                </c:pt>
                <c:pt idx="7">
                  <c:v>261</c:v>
                </c:pt>
                <c:pt idx="8">
                  <c:v>221</c:v>
                </c:pt>
                <c:pt idx="9">
                  <c:v>149</c:v>
                </c:pt>
                <c:pt idx="10">
                  <c:v>186</c:v>
                </c:pt>
                <c:pt idx="11">
                  <c:v>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6F0-4902-8F1D-B5692992990C}"/>
            </c:ext>
          </c:extLst>
        </c:ser>
        <c:ser>
          <c:idx val="17"/>
          <c:order val="12"/>
          <c:tx>
            <c:v>2021선</c:v>
          </c:tx>
          <c:spPr>
            <a:ln w="12700" cap="rnd" cmpd="sng" algn="ctr">
              <a:solidFill>
                <a:schemeClr val="accent5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관리비_Kenneth!$AB$40:$AB$51</c:f>
              <c:numCache>
                <c:formatCode>#,##0_ ;[Red]\-#,##0\ </c:formatCode>
                <c:ptCount val="12"/>
                <c:pt idx="0">
                  <c:v>227</c:v>
                </c:pt>
                <c:pt idx="1">
                  <c:v>185</c:v>
                </c:pt>
                <c:pt idx="2">
                  <c:v>155</c:v>
                </c:pt>
                <c:pt idx="3">
                  <c:v>168</c:v>
                </c:pt>
                <c:pt idx="4">
                  <c:v>171</c:v>
                </c:pt>
                <c:pt idx="5">
                  <c:v>151</c:v>
                </c:pt>
                <c:pt idx="6">
                  <c:v>226</c:v>
                </c:pt>
                <c:pt idx="7">
                  <c:v>205</c:v>
                </c:pt>
                <c:pt idx="8">
                  <c:v>151</c:v>
                </c:pt>
                <c:pt idx="9">
                  <c:v>168</c:v>
                </c:pt>
                <c:pt idx="10">
                  <c:v>196</c:v>
                </c:pt>
                <c:pt idx="11">
                  <c:v>135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F6F0-4902-8F1D-B5692992990C}"/>
            </c:ext>
          </c:extLst>
        </c:ser>
        <c:ser>
          <c:idx val="9"/>
          <c:order val="13"/>
          <c:tx>
            <c:v>2022선</c:v>
          </c:tx>
          <c:spPr>
            <a:ln w="12700" cap="rnd" cmpd="sng" algn="ctr">
              <a:solidFill>
                <a:schemeClr val="accent1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관리비_Kenneth!$AB$60:$AB$71</c:f>
              <c:numCache>
                <c:formatCode>#,##0_);[Red]\(#,##0\)</c:formatCode>
                <c:ptCount val="12"/>
                <c:pt idx="0">
                  <c:v>279</c:v>
                </c:pt>
                <c:pt idx="1">
                  <c:v>273</c:v>
                </c:pt>
                <c:pt idx="2">
                  <c:v>224</c:v>
                </c:pt>
                <c:pt idx="3">
                  <c:v>204</c:v>
                </c:pt>
                <c:pt idx="4">
                  <c:v>173</c:v>
                </c:pt>
                <c:pt idx="5">
                  <c:v>183</c:v>
                </c:pt>
                <c:pt idx="6">
                  <c:v>228</c:v>
                </c:pt>
                <c:pt idx="7">
                  <c:v>304</c:v>
                </c:pt>
                <c:pt idx="8">
                  <c:v>257</c:v>
                </c:pt>
                <c:pt idx="9">
                  <c:v>186</c:v>
                </c:pt>
                <c:pt idx="10">
                  <c:v>190</c:v>
                </c:pt>
                <c:pt idx="11">
                  <c:v>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6F0-4902-8F1D-B5692992990C}"/>
            </c:ext>
          </c:extLst>
        </c:ser>
        <c:ser>
          <c:idx val="11"/>
          <c:order val="14"/>
          <c:tx>
            <c:v>2023선</c:v>
          </c:tx>
          <c:spPr>
            <a:ln w="12700" cap="rnd" cmpd="sng" algn="ctr">
              <a:solidFill>
                <a:schemeClr val="accent5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관리비_Kenneth!$AB$72:$AB$83</c:f>
              <c:numCache>
                <c:formatCode>#,##0_);[Red]\(#,##0\)</c:formatCode>
                <c:ptCount val="12"/>
                <c:pt idx="0">
                  <c:v>231</c:v>
                </c:pt>
                <c:pt idx="1">
                  <c:v>198</c:v>
                </c:pt>
                <c:pt idx="2">
                  <c:v>199</c:v>
                </c:pt>
                <c:pt idx="3">
                  <c:v>187</c:v>
                </c:pt>
                <c:pt idx="4">
                  <c:v>187</c:v>
                </c:pt>
                <c:pt idx="5">
                  <c:v>182</c:v>
                </c:pt>
                <c:pt idx="6">
                  <c:v>231</c:v>
                </c:pt>
                <c:pt idx="7">
                  <c:v>320</c:v>
                </c:pt>
                <c:pt idx="8">
                  <c:v>305</c:v>
                </c:pt>
                <c:pt idx="9">
                  <c:v>222</c:v>
                </c:pt>
                <c:pt idx="10">
                  <c:v>219</c:v>
                </c:pt>
                <c:pt idx="11">
                  <c:v>214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F6F0-4902-8F1D-B5692992990C}"/>
            </c:ext>
          </c:extLst>
        </c:ser>
        <c:ser>
          <c:idx val="13"/>
          <c:order val="15"/>
          <c:tx>
            <c:v>2024선</c:v>
          </c:tx>
          <c:spPr>
            <a:ln w="12700" cap="rnd" cmpd="sng" algn="ctr">
              <a:solidFill>
                <a:schemeClr val="accent3">
                  <a:lumMod val="60000"/>
                  <a:lumOff val="4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관리비_Kenneth!$AB$84:$AB$95</c:f>
              <c:numCache>
                <c:formatCode>#,##0_);[Red]\(#,##0\)</c:formatCode>
                <c:ptCount val="12"/>
                <c:pt idx="0">
                  <c:v>113</c:v>
                </c:pt>
                <c:pt idx="1">
                  <c:v>250</c:v>
                </c:pt>
                <c:pt idx="2">
                  <c:v>207</c:v>
                </c:pt>
                <c:pt idx="3">
                  <c:v>227</c:v>
                </c:pt>
                <c:pt idx="4">
                  <c:v>201</c:v>
                </c:pt>
                <c:pt idx="5">
                  <c:v>211</c:v>
                </c:pt>
                <c:pt idx="6">
                  <c:v>255</c:v>
                </c:pt>
                <c:pt idx="7">
                  <c:v>363</c:v>
                </c:pt>
                <c:pt idx="8">
                  <c:v>371</c:v>
                </c:pt>
                <c:pt idx="9">
                  <c:v>291</c:v>
                </c:pt>
                <c:pt idx="10">
                  <c:v>208</c:v>
                </c:pt>
                <c:pt idx="11">
                  <c:v>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F6F0-4902-8F1D-B5692992990C}"/>
            </c:ext>
          </c:extLst>
        </c:ser>
        <c:ser>
          <c:idx val="1"/>
          <c:order val="16"/>
          <c:tx>
            <c:v>2025선</c:v>
          </c:tx>
          <c:spPr>
            <a:ln w="25400" cap="rnd" cmpd="sng" algn="ctr">
              <a:solidFill>
                <a:srgbClr val="C00000">
                  <a:alpha val="5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관리비_Kenneth!$AB$96:$AB$107</c:f>
              <c:numCache>
                <c:formatCode>#,##0_);[Red]\(#,##0\)</c:formatCode>
                <c:ptCount val="12"/>
                <c:pt idx="0">
                  <c:v>258</c:v>
                </c:pt>
                <c:pt idx="1">
                  <c:v>271</c:v>
                </c:pt>
                <c:pt idx="2">
                  <c:v>224</c:v>
                </c:pt>
                <c:pt idx="3">
                  <c:v>220</c:v>
                </c:pt>
                <c:pt idx="4">
                  <c:v>200</c:v>
                </c:pt>
                <c:pt idx="5">
                  <c:v>239</c:v>
                </c:pt>
                <c:pt idx="6">
                  <c:v>310</c:v>
                </c:pt>
                <c:pt idx="7">
                  <c:v>399</c:v>
                </c:pt>
                <c:pt idx="8">
                  <c:v>360</c:v>
                </c:pt>
                <c:pt idx="9">
                  <c:v>222</c:v>
                </c:pt>
                <c:pt idx="10">
                  <c:v>209</c:v>
                </c:pt>
                <c:pt idx="11">
                  <c:v>220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F6F0-4902-8F1D-B5692992990C}"/>
            </c:ext>
          </c:extLst>
        </c:ser>
        <c:ser>
          <c:idx val="3"/>
          <c:order val="17"/>
          <c:tx>
            <c:v>2026선</c:v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관리비_Kenneth!$AB$108:$AB$119</c:f>
              <c:numCache>
                <c:formatCode>#,##0_);[Red]\(#,##0\)</c:formatCode>
                <c:ptCount val="12"/>
                <c:pt idx="0">
                  <c:v>233</c:v>
                </c:pt>
                <c:pt idx="1">
                  <c:v>247</c:v>
                </c:pt>
                <c:pt idx="2">
                  <c:v>216</c:v>
                </c:pt>
                <c:pt idx="3">
                  <c:v>221</c:v>
                </c:pt>
                <c:pt idx="4">
                  <c:v>196</c:v>
                </c:pt>
                <c:pt idx="5">
                  <c:v>201</c:v>
                </c:pt>
                <c:pt idx="6">
                  <c:v>214</c:v>
                </c:pt>
                <c:pt idx="7">
                  <c:v>291</c:v>
                </c:pt>
                <c:pt idx="8">
                  <c:v>325</c:v>
                </c:pt>
                <c:pt idx="9">
                  <c:v>230</c:v>
                </c:pt>
                <c:pt idx="10">
                  <c:v>215</c:v>
                </c:pt>
                <c:pt idx="11">
                  <c:v>214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F6F0-4902-8F1D-B56929929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441640"/>
        <c:axId val="506444776"/>
      </c:lineChart>
      <c:catAx>
        <c:axId val="506441640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ysClr val="window" lastClr="FFFFFF">
                <a:lumMod val="85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6444776"/>
        <c:crosses val="autoZero"/>
        <c:auto val="1"/>
        <c:lblAlgn val="ctr"/>
        <c:lblOffset val="100"/>
        <c:tickMarkSkip val="2"/>
        <c:noMultiLvlLbl val="0"/>
      </c:catAx>
      <c:valAx>
        <c:axId val="506444776"/>
        <c:scaling>
          <c:orientation val="minMax"/>
          <c:max val="410"/>
          <c:min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bg1">
                <a:lumMod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64416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507206367015054E-2"/>
          <c:y val="2.7153963361003682E-2"/>
          <c:w val="0.89567470662691129"/>
          <c:h val="0.84709947272328989"/>
        </c:manualLayout>
      </c:layout>
      <c:barChart>
        <c:barDir val="col"/>
        <c:grouping val="clustered"/>
        <c:varyColors val="0"/>
        <c:ser>
          <c:idx val="4"/>
          <c:order val="0"/>
          <c:tx>
            <c:v>2018</c:v>
          </c:tx>
          <c:spPr>
            <a:solidFill>
              <a:schemeClr val="accent3">
                <a:lumMod val="60000"/>
              </a:schemeClr>
            </a:solidFill>
            <a:ln w="12700"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관리비_Kenneth!$C$4:$C$15</c:f>
              <c:numCache>
                <c:formatCode>#,##0_ ;[Red]\-#,##0\ </c:formatCode>
                <c:ptCount val="12"/>
                <c:pt idx="2">
                  <c:v>160970</c:v>
                </c:pt>
                <c:pt idx="3">
                  <c:v>156020</c:v>
                </c:pt>
                <c:pt idx="4">
                  <c:v>142750</c:v>
                </c:pt>
                <c:pt idx="5">
                  <c:v>133740</c:v>
                </c:pt>
                <c:pt idx="6">
                  <c:v>136380</c:v>
                </c:pt>
                <c:pt idx="7">
                  <c:v>143210</c:v>
                </c:pt>
                <c:pt idx="8">
                  <c:v>130260</c:v>
                </c:pt>
                <c:pt idx="9">
                  <c:v>139050</c:v>
                </c:pt>
                <c:pt idx="10">
                  <c:v>189170</c:v>
                </c:pt>
                <c:pt idx="11">
                  <c:v>195900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9-427E-81D1-4E0F3121DCFA}"/>
            </c:ext>
          </c:extLst>
        </c:ser>
        <c:ser>
          <c:idx val="5"/>
          <c:order val="1"/>
          <c:tx>
            <c:v>2019</c:v>
          </c:tx>
          <c:spPr>
            <a:solidFill>
              <a:schemeClr val="accent5">
                <a:lumMod val="60000"/>
              </a:schemeClr>
            </a:solidFill>
            <a:ln w="12700"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관리비_Kenneth!$C$16:$C$27</c:f>
              <c:numCache>
                <c:formatCode>#,##0_ ;[Red]\-#,##0\ </c:formatCode>
                <c:ptCount val="12"/>
                <c:pt idx="0">
                  <c:v>225630</c:v>
                </c:pt>
                <c:pt idx="1">
                  <c:v>216490</c:v>
                </c:pt>
                <c:pt idx="2">
                  <c:v>189890</c:v>
                </c:pt>
                <c:pt idx="3">
                  <c:v>171620</c:v>
                </c:pt>
                <c:pt idx="4">
                  <c:v>152450</c:v>
                </c:pt>
                <c:pt idx="5">
                  <c:v>126770</c:v>
                </c:pt>
                <c:pt idx="6">
                  <c:v>131270</c:v>
                </c:pt>
                <c:pt idx="7">
                  <c:v>134150</c:v>
                </c:pt>
                <c:pt idx="8">
                  <c:v>138530</c:v>
                </c:pt>
                <c:pt idx="9">
                  <c:v>138610</c:v>
                </c:pt>
                <c:pt idx="10">
                  <c:v>159550</c:v>
                </c:pt>
                <c:pt idx="11">
                  <c:v>194700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9-427E-81D1-4E0F3121DCFA}"/>
            </c:ext>
          </c:extLst>
        </c:ser>
        <c:ser>
          <c:idx val="6"/>
          <c:order val="2"/>
          <c:tx>
            <c:v>2020</c:v>
          </c:tx>
          <c:spPr>
            <a:solidFill>
              <a:schemeClr val="accent1">
                <a:lumMod val="80000"/>
                <a:lumOff val="20000"/>
              </a:schemeClr>
            </a:solidFill>
            <a:ln w="12700"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관리비_Kenneth!$C$28:$C$39</c:f>
              <c:numCache>
                <c:formatCode>#,##0_ ;[Red]\-#,##0\ </c:formatCode>
                <c:ptCount val="12"/>
                <c:pt idx="0">
                  <c:v>188600</c:v>
                </c:pt>
                <c:pt idx="1">
                  <c:v>208020</c:v>
                </c:pt>
                <c:pt idx="2">
                  <c:v>207150</c:v>
                </c:pt>
                <c:pt idx="3">
                  <c:v>188980</c:v>
                </c:pt>
                <c:pt idx="4">
                  <c:v>170290</c:v>
                </c:pt>
                <c:pt idx="5">
                  <c:v>150100</c:v>
                </c:pt>
                <c:pt idx="6">
                  <c:v>150910</c:v>
                </c:pt>
                <c:pt idx="7">
                  <c:v>148570</c:v>
                </c:pt>
                <c:pt idx="8">
                  <c:v>155740</c:v>
                </c:pt>
                <c:pt idx="9">
                  <c:v>136780</c:v>
                </c:pt>
                <c:pt idx="10">
                  <c:v>171520</c:v>
                </c:pt>
                <c:pt idx="11">
                  <c:v>198980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89-427E-81D1-4E0F3121DCFA}"/>
            </c:ext>
          </c:extLst>
        </c:ser>
        <c:ser>
          <c:idx val="7"/>
          <c:order val="3"/>
          <c:tx>
            <c:v>2021</c:v>
          </c:tx>
          <c:spPr>
            <a:solidFill>
              <a:schemeClr val="accent3">
                <a:lumMod val="80000"/>
                <a:lumOff val="20000"/>
              </a:schemeClr>
            </a:solidFill>
            <a:ln w="12700"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관리비_Kenneth!$C$40:$C$51</c:f>
              <c:numCache>
                <c:formatCode>#,##0_ ;[Red]\-#,##0\ </c:formatCode>
                <c:ptCount val="12"/>
                <c:pt idx="0">
                  <c:v>229500</c:v>
                </c:pt>
                <c:pt idx="1">
                  <c:v>202280</c:v>
                </c:pt>
                <c:pt idx="2">
                  <c:v>172940</c:v>
                </c:pt>
                <c:pt idx="3">
                  <c:v>165010</c:v>
                </c:pt>
                <c:pt idx="4">
                  <c:v>165680</c:v>
                </c:pt>
                <c:pt idx="5">
                  <c:v>146080</c:v>
                </c:pt>
                <c:pt idx="6">
                  <c:v>169080</c:v>
                </c:pt>
                <c:pt idx="7">
                  <c:v>142750</c:v>
                </c:pt>
                <c:pt idx="8">
                  <c:v>157460</c:v>
                </c:pt>
                <c:pt idx="9">
                  <c:v>152520</c:v>
                </c:pt>
                <c:pt idx="10">
                  <c:v>165100</c:v>
                </c:pt>
                <c:pt idx="11">
                  <c:v>105390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89-427E-81D1-4E0F3121DCFA}"/>
            </c:ext>
          </c:extLst>
        </c:ser>
        <c:ser>
          <c:idx val="8"/>
          <c:order val="4"/>
          <c:tx>
            <c:v>2022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관리비_Kenneth!$C$60:$C$71</c:f>
              <c:numCache>
                <c:formatCode>#,##0_);[Red]\(#,##0\)</c:formatCode>
                <c:ptCount val="12"/>
                <c:pt idx="0">
                  <c:v>244880</c:v>
                </c:pt>
                <c:pt idx="1">
                  <c:v>232600</c:v>
                </c:pt>
                <c:pt idx="2">
                  <c:v>189760</c:v>
                </c:pt>
                <c:pt idx="3">
                  <c:v>153270</c:v>
                </c:pt>
                <c:pt idx="4">
                  <c:v>137000</c:v>
                </c:pt>
                <c:pt idx="5">
                  <c:v>134210</c:v>
                </c:pt>
                <c:pt idx="6">
                  <c:v>149570</c:v>
                </c:pt>
                <c:pt idx="7">
                  <c:v>155680</c:v>
                </c:pt>
                <c:pt idx="8">
                  <c:v>151930</c:v>
                </c:pt>
                <c:pt idx="9">
                  <c:v>148410</c:v>
                </c:pt>
                <c:pt idx="10">
                  <c:v>189100</c:v>
                </c:pt>
                <c:pt idx="11">
                  <c:v>279230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89-427E-81D1-4E0F3121DCFA}"/>
            </c:ext>
          </c:extLst>
        </c:ser>
        <c:ser>
          <c:idx val="10"/>
          <c:order val="5"/>
          <c:tx>
            <c:v>2023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관리비_Kenneth!$C$72:$C$83</c:f>
              <c:numCache>
                <c:formatCode>#,##0_);[Red]\(#,##0\)</c:formatCode>
                <c:ptCount val="12"/>
                <c:pt idx="0">
                  <c:v>304540</c:v>
                </c:pt>
                <c:pt idx="1">
                  <c:v>244930</c:v>
                </c:pt>
                <c:pt idx="2">
                  <c:v>189450</c:v>
                </c:pt>
                <c:pt idx="3">
                  <c:v>161150</c:v>
                </c:pt>
                <c:pt idx="4">
                  <c:v>149580</c:v>
                </c:pt>
                <c:pt idx="5">
                  <c:v>149810</c:v>
                </c:pt>
                <c:pt idx="6">
                  <c:v>159490</c:v>
                </c:pt>
                <c:pt idx="7">
                  <c:v>178150</c:v>
                </c:pt>
                <c:pt idx="8">
                  <c:v>172050</c:v>
                </c:pt>
                <c:pt idx="9">
                  <c:v>164270</c:v>
                </c:pt>
                <c:pt idx="10">
                  <c:v>241350</c:v>
                </c:pt>
                <c:pt idx="11">
                  <c:v>204800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89-427E-81D1-4E0F3121DCFA}"/>
            </c:ext>
          </c:extLst>
        </c:ser>
        <c:ser>
          <c:idx val="12"/>
          <c:order val="6"/>
          <c:tx>
            <c:v>2024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관리비_Kenneth!$C$84:$C$95</c:f>
              <c:numCache>
                <c:formatCode>#,##0_);[Red]\(#,##0\)</c:formatCode>
                <c:ptCount val="12"/>
                <c:pt idx="0">
                  <c:v>269060</c:v>
                </c:pt>
                <c:pt idx="1">
                  <c:v>238910</c:v>
                </c:pt>
                <c:pt idx="2">
                  <c:v>200520</c:v>
                </c:pt>
                <c:pt idx="3">
                  <c:v>178860</c:v>
                </c:pt>
                <c:pt idx="4">
                  <c:v>158700</c:v>
                </c:pt>
                <c:pt idx="5">
                  <c:v>166050</c:v>
                </c:pt>
                <c:pt idx="6">
                  <c:v>174550</c:v>
                </c:pt>
                <c:pt idx="7">
                  <c:v>190910</c:v>
                </c:pt>
                <c:pt idx="8">
                  <c:v>195670</c:v>
                </c:pt>
                <c:pt idx="9">
                  <c:v>193350</c:v>
                </c:pt>
                <c:pt idx="10">
                  <c:v>212290</c:v>
                </c:pt>
                <c:pt idx="11">
                  <c:v>277090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89-427E-81D1-4E0F3121DCFA}"/>
            </c:ext>
          </c:extLst>
        </c:ser>
        <c:ser>
          <c:idx val="0"/>
          <c:order val="7"/>
          <c:tx>
            <c:v>2025</c:v>
          </c:tx>
          <c:spPr>
            <a:solidFill>
              <a:srgbClr val="C0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관리비_Kenneth!$B$96:$B$107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관리비_Kenneth!$C$96:$C$107</c:f>
              <c:numCache>
                <c:formatCode>#,##0_);[Red]\(#,##0\)</c:formatCode>
                <c:ptCount val="12"/>
                <c:pt idx="0">
                  <c:v>329190</c:v>
                </c:pt>
                <c:pt idx="1">
                  <c:v>289250</c:v>
                </c:pt>
                <c:pt idx="2">
                  <c:v>225630</c:v>
                </c:pt>
                <c:pt idx="3">
                  <c:v>184100</c:v>
                </c:pt>
                <c:pt idx="4">
                  <c:v>169520</c:v>
                </c:pt>
                <c:pt idx="5">
                  <c:v>177120</c:v>
                </c:pt>
                <c:pt idx="6">
                  <c:v>191100</c:v>
                </c:pt>
                <c:pt idx="7">
                  <c:v>204510</c:v>
                </c:pt>
                <c:pt idx="8">
                  <c:v>198150</c:v>
                </c:pt>
                <c:pt idx="9">
                  <c:v>185550</c:v>
                </c:pt>
                <c:pt idx="10">
                  <c:v>222090</c:v>
                </c:pt>
                <c:pt idx="11">
                  <c:v>266610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F89-427E-81D1-4E0F3121DCFA}"/>
            </c:ext>
          </c:extLst>
        </c:ser>
        <c:ser>
          <c:idx val="2"/>
          <c:order val="8"/>
          <c:tx>
            <c:v>2026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관리비_Kenneth!$C$108:$C$119</c:f>
              <c:numCache>
                <c:formatCode>#,##0_);[Red]\(#,##0\)</c:formatCode>
                <c:ptCount val="12"/>
                <c:pt idx="0">
                  <c:v>313170</c:v>
                </c:pt>
                <c:pt idx="1">
                  <c:v>266210</c:v>
                </c:pt>
                <c:pt idx="2">
                  <c:v>224700</c:v>
                </c:pt>
                <c:pt idx="3">
                  <c:v>190080</c:v>
                </c:pt>
                <c:pt idx="4">
                  <c:v>171860</c:v>
                </c:pt>
                <c:pt idx="5">
                  <c:v>179340</c:v>
                </c:pt>
                <c:pt idx="6">
                  <c:v>186290</c:v>
                </c:pt>
                <c:pt idx="7">
                  <c:v>200480</c:v>
                </c:pt>
                <c:pt idx="8">
                  <c:v>205020</c:v>
                </c:pt>
                <c:pt idx="9">
                  <c:v>212895</c:v>
                </c:pt>
                <c:pt idx="10">
                  <c:v>285010</c:v>
                </c:pt>
                <c:pt idx="11">
                  <c:v>316640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89-427E-81D1-4E0F3121D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438504"/>
        <c:axId val="506447912"/>
      </c:barChart>
      <c:lineChart>
        <c:grouping val="standard"/>
        <c:varyColors val="0"/>
        <c:ser>
          <c:idx val="14"/>
          <c:order val="9"/>
          <c:tx>
            <c:v>2018선</c:v>
          </c:tx>
          <c:spPr>
            <a:ln w="12700" cap="rnd" cmpd="sng" algn="ctr">
              <a:solidFill>
                <a:schemeClr val="accent5">
                  <a:lumMod val="60000"/>
                  <a:lumOff val="4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관리비_Kenneth!$C$4:$C$15</c:f>
              <c:numCache>
                <c:formatCode>#,##0_ ;[Red]\-#,##0\ </c:formatCode>
                <c:ptCount val="12"/>
                <c:pt idx="2">
                  <c:v>160970</c:v>
                </c:pt>
                <c:pt idx="3">
                  <c:v>156020</c:v>
                </c:pt>
                <c:pt idx="4">
                  <c:v>142750</c:v>
                </c:pt>
                <c:pt idx="5">
                  <c:v>133740</c:v>
                </c:pt>
                <c:pt idx="6">
                  <c:v>136380</c:v>
                </c:pt>
                <c:pt idx="7">
                  <c:v>143210</c:v>
                </c:pt>
                <c:pt idx="8">
                  <c:v>130260</c:v>
                </c:pt>
                <c:pt idx="9">
                  <c:v>139050</c:v>
                </c:pt>
                <c:pt idx="10">
                  <c:v>189170</c:v>
                </c:pt>
                <c:pt idx="11">
                  <c:v>195900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F89-427E-81D1-4E0F3121DCFA}"/>
            </c:ext>
          </c:extLst>
        </c:ser>
        <c:ser>
          <c:idx val="15"/>
          <c:order val="10"/>
          <c:tx>
            <c:v>2019선</c:v>
          </c:tx>
          <c:spPr>
            <a:ln w="12700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관리비_Kenneth!$C$16:$C$27</c:f>
              <c:numCache>
                <c:formatCode>#,##0_ ;[Red]\-#,##0\ </c:formatCode>
                <c:ptCount val="12"/>
                <c:pt idx="0">
                  <c:v>225630</c:v>
                </c:pt>
                <c:pt idx="1">
                  <c:v>216490</c:v>
                </c:pt>
                <c:pt idx="2">
                  <c:v>189890</c:v>
                </c:pt>
                <c:pt idx="3">
                  <c:v>171620</c:v>
                </c:pt>
                <c:pt idx="4">
                  <c:v>152450</c:v>
                </c:pt>
                <c:pt idx="5">
                  <c:v>126770</c:v>
                </c:pt>
                <c:pt idx="6">
                  <c:v>131270</c:v>
                </c:pt>
                <c:pt idx="7">
                  <c:v>134150</c:v>
                </c:pt>
                <c:pt idx="8">
                  <c:v>138530</c:v>
                </c:pt>
                <c:pt idx="9">
                  <c:v>138610</c:v>
                </c:pt>
                <c:pt idx="10">
                  <c:v>159550</c:v>
                </c:pt>
                <c:pt idx="11">
                  <c:v>194700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F89-427E-81D1-4E0F3121DCFA}"/>
            </c:ext>
          </c:extLst>
        </c:ser>
        <c:ser>
          <c:idx val="16"/>
          <c:order val="11"/>
          <c:tx>
            <c:v>2020선</c:v>
          </c:tx>
          <c:spPr>
            <a:ln w="12700" cap="rnd" cmpd="sng" algn="ctr">
              <a:solidFill>
                <a:schemeClr val="accent3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관리비_Kenneth!$C$28:$C$39</c:f>
              <c:numCache>
                <c:formatCode>#,##0_ ;[Red]\-#,##0\ </c:formatCode>
                <c:ptCount val="12"/>
                <c:pt idx="0">
                  <c:v>188600</c:v>
                </c:pt>
                <c:pt idx="1">
                  <c:v>208020</c:v>
                </c:pt>
                <c:pt idx="2">
                  <c:v>207150</c:v>
                </c:pt>
                <c:pt idx="3">
                  <c:v>188980</c:v>
                </c:pt>
                <c:pt idx="4">
                  <c:v>170290</c:v>
                </c:pt>
                <c:pt idx="5">
                  <c:v>150100</c:v>
                </c:pt>
                <c:pt idx="6">
                  <c:v>150910</c:v>
                </c:pt>
                <c:pt idx="7">
                  <c:v>148570</c:v>
                </c:pt>
                <c:pt idx="8">
                  <c:v>155740</c:v>
                </c:pt>
                <c:pt idx="9">
                  <c:v>136780</c:v>
                </c:pt>
                <c:pt idx="10">
                  <c:v>171520</c:v>
                </c:pt>
                <c:pt idx="11">
                  <c:v>198980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DF89-427E-81D1-4E0F3121DCFA}"/>
            </c:ext>
          </c:extLst>
        </c:ser>
        <c:ser>
          <c:idx val="17"/>
          <c:order val="12"/>
          <c:tx>
            <c:v>2021선</c:v>
          </c:tx>
          <c:spPr>
            <a:ln w="12700" cap="rnd" cmpd="sng" algn="ctr">
              <a:solidFill>
                <a:schemeClr val="accent5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관리비_Kenneth!$C$40:$C$51</c:f>
              <c:numCache>
                <c:formatCode>#,##0_ ;[Red]\-#,##0\ </c:formatCode>
                <c:ptCount val="12"/>
                <c:pt idx="0">
                  <c:v>229500</c:v>
                </c:pt>
                <c:pt idx="1">
                  <c:v>202280</c:v>
                </c:pt>
                <c:pt idx="2">
                  <c:v>172940</c:v>
                </c:pt>
                <c:pt idx="3">
                  <c:v>165010</c:v>
                </c:pt>
                <c:pt idx="4">
                  <c:v>165680</c:v>
                </c:pt>
                <c:pt idx="5">
                  <c:v>146080</c:v>
                </c:pt>
                <c:pt idx="6">
                  <c:v>169080</c:v>
                </c:pt>
                <c:pt idx="7">
                  <c:v>142750</c:v>
                </c:pt>
                <c:pt idx="8">
                  <c:v>157460</c:v>
                </c:pt>
                <c:pt idx="9">
                  <c:v>152520</c:v>
                </c:pt>
                <c:pt idx="10">
                  <c:v>165100</c:v>
                </c:pt>
                <c:pt idx="11">
                  <c:v>105390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DF89-427E-81D1-4E0F3121DCFA}"/>
            </c:ext>
          </c:extLst>
        </c:ser>
        <c:ser>
          <c:idx val="9"/>
          <c:order val="13"/>
          <c:tx>
            <c:v>2022선</c:v>
          </c:tx>
          <c:spPr>
            <a:ln w="12700" cap="rnd" cmpd="sng" algn="ctr">
              <a:solidFill>
                <a:schemeClr val="accent1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관리비_Kenneth!$C$60:$C$71</c:f>
              <c:numCache>
                <c:formatCode>#,##0_);[Red]\(#,##0\)</c:formatCode>
                <c:ptCount val="12"/>
                <c:pt idx="0">
                  <c:v>244880</c:v>
                </c:pt>
                <c:pt idx="1">
                  <c:v>232600</c:v>
                </c:pt>
                <c:pt idx="2">
                  <c:v>189760</c:v>
                </c:pt>
                <c:pt idx="3">
                  <c:v>153270</c:v>
                </c:pt>
                <c:pt idx="4">
                  <c:v>137000</c:v>
                </c:pt>
                <c:pt idx="5">
                  <c:v>134210</c:v>
                </c:pt>
                <c:pt idx="6">
                  <c:v>149570</c:v>
                </c:pt>
                <c:pt idx="7">
                  <c:v>155680</c:v>
                </c:pt>
                <c:pt idx="8">
                  <c:v>151930</c:v>
                </c:pt>
                <c:pt idx="9">
                  <c:v>148410</c:v>
                </c:pt>
                <c:pt idx="10">
                  <c:v>189100</c:v>
                </c:pt>
                <c:pt idx="11">
                  <c:v>279230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F89-427E-81D1-4E0F3121DCFA}"/>
            </c:ext>
          </c:extLst>
        </c:ser>
        <c:ser>
          <c:idx val="11"/>
          <c:order val="14"/>
          <c:tx>
            <c:v>2023선</c:v>
          </c:tx>
          <c:spPr>
            <a:ln w="12700" cap="rnd" cmpd="sng" algn="ctr">
              <a:solidFill>
                <a:schemeClr val="accent5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관리비_Kenneth!$C$72:$C$83</c:f>
              <c:numCache>
                <c:formatCode>#,##0_);[Red]\(#,##0\)</c:formatCode>
                <c:ptCount val="12"/>
                <c:pt idx="0">
                  <c:v>304540</c:v>
                </c:pt>
                <c:pt idx="1">
                  <c:v>244930</c:v>
                </c:pt>
                <c:pt idx="2">
                  <c:v>189450</c:v>
                </c:pt>
                <c:pt idx="3">
                  <c:v>161150</c:v>
                </c:pt>
                <c:pt idx="4">
                  <c:v>149580</c:v>
                </c:pt>
                <c:pt idx="5">
                  <c:v>149810</c:v>
                </c:pt>
                <c:pt idx="6">
                  <c:v>159490</c:v>
                </c:pt>
                <c:pt idx="7">
                  <c:v>178150</c:v>
                </c:pt>
                <c:pt idx="8">
                  <c:v>172050</c:v>
                </c:pt>
                <c:pt idx="9">
                  <c:v>164270</c:v>
                </c:pt>
                <c:pt idx="10">
                  <c:v>241350</c:v>
                </c:pt>
                <c:pt idx="11">
                  <c:v>204800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DF89-427E-81D1-4E0F3121DCFA}"/>
            </c:ext>
          </c:extLst>
        </c:ser>
        <c:ser>
          <c:idx val="13"/>
          <c:order val="15"/>
          <c:tx>
            <c:v>2024선</c:v>
          </c:tx>
          <c:spPr>
            <a:ln w="12700" cap="rnd" cmpd="sng" algn="ctr">
              <a:solidFill>
                <a:schemeClr val="accent3">
                  <a:lumMod val="60000"/>
                  <a:lumOff val="4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관리비_Kenneth!$C$84:$C$95</c:f>
              <c:numCache>
                <c:formatCode>#,##0_);[Red]\(#,##0\)</c:formatCode>
                <c:ptCount val="12"/>
                <c:pt idx="0">
                  <c:v>269060</c:v>
                </c:pt>
                <c:pt idx="1">
                  <c:v>238910</c:v>
                </c:pt>
                <c:pt idx="2">
                  <c:v>200520</c:v>
                </c:pt>
                <c:pt idx="3">
                  <c:v>178860</c:v>
                </c:pt>
                <c:pt idx="4">
                  <c:v>158700</c:v>
                </c:pt>
                <c:pt idx="5">
                  <c:v>166050</c:v>
                </c:pt>
                <c:pt idx="6">
                  <c:v>174550</c:v>
                </c:pt>
                <c:pt idx="7">
                  <c:v>190910</c:v>
                </c:pt>
                <c:pt idx="8">
                  <c:v>195670</c:v>
                </c:pt>
                <c:pt idx="9">
                  <c:v>193350</c:v>
                </c:pt>
                <c:pt idx="10">
                  <c:v>212290</c:v>
                </c:pt>
                <c:pt idx="11">
                  <c:v>277090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DF89-427E-81D1-4E0F3121DCFA}"/>
            </c:ext>
          </c:extLst>
        </c:ser>
        <c:ser>
          <c:idx val="1"/>
          <c:order val="16"/>
          <c:tx>
            <c:v>2025선</c:v>
          </c:tx>
          <c:spPr>
            <a:ln w="25400" cap="rnd" cmpd="sng" algn="ctr">
              <a:solidFill>
                <a:srgbClr val="C00000">
                  <a:alpha val="5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관리비_Kenneth!$C$96:$C$107</c:f>
              <c:numCache>
                <c:formatCode>#,##0_);[Red]\(#,##0\)</c:formatCode>
                <c:ptCount val="12"/>
                <c:pt idx="0">
                  <c:v>329190</c:v>
                </c:pt>
                <c:pt idx="1">
                  <c:v>289250</c:v>
                </c:pt>
                <c:pt idx="2">
                  <c:v>225630</c:v>
                </c:pt>
                <c:pt idx="3">
                  <c:v>184100</c:v>
                </c:pt>
                <c:pt idx="4">
                  <c:v>169520</c:v>
                </c:pt>
                <c:pt idx="5">
                  <c:v>177120</c:v>
                </c:pt>
                <c:pt idx="6">
                  <c:v>191100</c:v>
                </c:pt>
                <c:pt idx="7">
                  <c:v>204510</c:v>
                </c:pt>
                <c:pt idx="8">
                  <c:v>198150</c:v>
                </c:pt>
                <c:pt idx="9">
                  <c:v>185550</c:v>
                </c:pt>
                <c:pt idx="10">
                  <c:v>222090</c:v>
                </c:pt>
                <c:pt idx="11">
                  <c:v>266610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DF89-427E-81D1-4E0F3121DCFA}"/>
            </c:ext>
          </c:extLst>
        </c:ser>
        <c:ser>
          <c:idx val="3"/>
          <c:order val="17"/>
          <c:tx>
            <c:v>2026선</c:v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관리비_Kenneth!$C$108:$C$119</c:f>
              <c:numCache>
                <c:formatCode>#,##0_);[Red]\(#,##0\)</c:formatCode>
                <c:ptCount val="12"/>
                <c:pt idx="0">
                  <c:v>313170</c:v>
                </c:pt>
                <c:pt idx="1">
                  <c:v>266210</c:v>
                </c:pt>
                <c:pt idx="2">
                  <c:v>224700</c:v>
                </c:pt>
                <c:pt idx="3">
                  <c:v>190080</c:v>
                </c:pt>
                <c:pt idx="4">
                  <c:v>171860</c:v>
                </c:pt>
                <c:pt idx="5">
                  <c:v>179340</c:v>
                </c:pt>
                <c:pt idx="6">
                  <c:v>186290</c:v>
                </c:pt>
                <c:pt idx="7">
                  <c:v>200480</c:v>
                </c:pt>
                <c:pt idx="8">
                  <c:v>205020</c:v>
                </c:pt>
                <c:pt idx="9">
                  <c:v>212895</c:v>
                </c:pt>
                <c:pt idx="10">
                  <c:v>285010</c:v>
                </c:pt>
                <c:pt idx="11">
                  <c:v>316640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DF89-427E-81D1-4E0F3121D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438504"/>
        <c:axId val="506447912"/>
      </c:lineChart>
      <c:catAx>
        <c:axId val="506438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3175" cap="flat" cmpd="sng" algn="ctr">
            <a:solidFill>
              <a:schemeClr val="bg1">
                <a:lumMod val="9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맑은 고딕 (본문)"/>
                <a:ea typeface="+mn-ea"/>
                <a:cs typeface="+mn-cs"/>
              </a:defRPr>
            </a:pPr>
            <a:endParaRPr lang="ko-KR"/>
          </a:p>
        </c:txPr>
        <c:crossAx val="506447912"/>
        <c:crosses val="autoZero"/>
        <c:auto val="1"/>
        <c:lblAlgn val="ctr"/>
        <c:lblOffset val="100"/>
        <c:noMultiLvlLbl val="0"/>
      </c:catAx>
      <c:valAx>
        <c:axId val="506447912"/>
        <c:scaling>
          <c:logBase val="2"/>
          <c:orientation val="minMax"/>
          <c:max val="330000"/>
          <c:min val="1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high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맑은 고딕 (본문)"/>
                <a:ea typeface="+mn-ea"/>
                <a:cs typeface="+mn-cs"/>
              </a:defRPr>
            </a:pPr>
            <a:endParaRPr lang="ko-KR"/>
          </a:p>
        </c:txPr>
        <c:crossAx val="506438504"/>
        <c:crosses val="autoZero"/>
        <c:crossBetween val="between"/>
        <c:majorUnit val="1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solidFill>
          <a:schemeClr val="bg1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234566178803961"/>
          <c:y val="1.7314552336537413E-2"/>
          <c:w val="0.56797003896234521"/>
          <c:h val="0.27596869936884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sz="10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ko-KR" altLang="en-US" sz="1000">
                <a:solidFill>
                  <a:schemeClr val="tx1">
                    <a:lumMod val="75000"/>
                    <a:lumOff val="25000"/>
                  </a:schemeClr>
                </a:solidFill>
              </a:rPr>
              <a:t>수도 사용량</a:t>
            </a:r>
          </a:p>
        </c:rich>
      </c:tx>
      <c:layout>
        <c:manualLayout>
          <c:xMode val="edge"/>
          <c:yMode val="edge"/>
          <c:x val="5.1716610004577196E-2"/>
          <c:y val="2.598607255638841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8"/>
          <c:order val="0"/>
          <c:tx>
            <c:v>2022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관리비_Kenneth!$AC$60:$AC$71</c:f>
              <c:numCache>
                <c:formatCode>#,##0_);[Red]\(#,##0\)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1-474B-9A4D-FB6A627DE055}"/>
            </c:ext>
          </c:extLst>
        </c:ser>
        <c:ser>
          <c:idx val="10"/>
          <c:order val="1"/>
          <c:tx>
            <c:v>2023</c:v>
          </c:tx>
          <c:spPr>
            <a:solidFill>
              <a:srgbClr val="00B0F0"/>
            </a:solidFill>
            <a:ln>
              <a:noFill/>
            </a:ln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관리비_Kenneth!$AC$72:$AC$83</c:f>
              <c:numCache>
                <c:formatCode>#,##0_);[Red]\(#,##0\)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1-474B-9A4D-FB6A627DE055}"/>
            </c:ext>
          </c:extLst>
        </c:ser>
        <c:ser>
          <c:idx val="12"/>
          <c:order val="2"/>
          <c:tx>
            <c:v>2024</c:v>
          </c:tx>
          <c:spPr>
            <a:solidFill>
              <a:srgbClr val="92D050"/>
            </a:solidFill>
            <a:ln>
              <a:noFill/>
            </a:ln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관리비_Kenneth!$AC$84:$AC$95</c:f>
              <c:numCache>
                <c:formatCode>#,##0_);[Red]\(#,##0\)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1-474B-9A4D-FB6A627DE055}"/>
            </c:ext>
          </c:extLst>
        </c:ser>
        <c:ser>
          <c:idx val="0"/>
          <c:order val="3"/>
          <c:tx>
            <c:v>2025</c:v>
          </c:tx>
          <c:spPr>
            <a:solidFill>
              <a:srgbClr val="C00000">
                <a:alpha val="50000"/>
              </a:srgbClr>
            </a:solidFill>
            <a:ln>
              <a:noFill/>
            </a:ln>
          </c:spPr>
          <c:invertIfNegative val="0"/>
          <c:cat>
            <c:strRef>
              <c:f>관리비_Kenneth!$B$96:$B$107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관리비_Kenneth!$AC$96:$AC$107</c:f>
              <c:numCache>
                <c:formatCode>#,##0_);[Red]\(#,##0\)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D1-474B-9A4D-FB6A627DE055}"/>
            </c:ext>
          </c:extLst>
        </c:ser>
        <c:ser>
          <c:idx val="2"/>
          <c:order val="4"/>
          <c:tx>
            <c:v>2026</c:v>
          </c:tx>
          <c:spPr>
            <a:solidFill>
              <a:srgbClr val="C00000"/>
            </a:solidFill>
            <a:ln>
              <a:noFill/>
            </a:ln>
          </c:spPr>
          <c:invertIfNegative val="0"/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관리비_Kenneth!$AC$108:$AC$119</c:f>
              <c:numCache>
                <c:formatCode>#,##0_);[Red]\(#,##0\)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D1-474B-9A4D-FB6A627DE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447128"/>
        <c:axId val="506448304"/>
      </c:barChart>
      <c:lineChart>
        <c:grouping val="standard"/>
        <c:varyColors val="0"/>
        <c:ser>
          <c:idx val="9"/>
          <c:order val="5"/>
          <c:tx>
            <c:v>2022선</c:v>
          </c:tx>
          <c:spPr>
            <a:ln w="15875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관리비_Kenneth!$AC$60:$AC$71</c:f>
              <c:numCache>
                <c:formatCode>#,##0_);[Red]\(#,##0\)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D1-474B-9A4D-FB6A627DE055}"/>
            </c:ext>
          </c:extLst>
        </c:ser>
        <c:ser>
          <c:idx val="11"/>
          <c:order val="6"/>
          <c:tx>
            <c:v>2023선</c:v>
          </c:tx>
          <c:spPr>
            <a:ln w="158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관리비_Kenneth!$AC$72:$AC$83</c:f>
              <c:numCache>
                <c:formatCode>#,##0_);[Red]\(#,##0\)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D1-474B-9A4D-FB6A627DE055}"/>
            </c:ext>
          </c:extLst>
        </c:ser>
        <c:ser>
          <c:idx val="13"/>
          <c:order val="7"/>
          <c:tx>
            <c:v>2024선</c:v>
          </c:tx>
          <c:spPr>
            <a:ln w="15875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관리비_Kenneth!$AC$84:$AC$95</c:f>
              <c:numCache>
                <c:formatCode>#,##0_);[Red]\(#,##0\)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2D1-474B-9A4D-FB6A627DE055}"/>
            </c:ext>
          </c:extLst>
        </c:ser>
        <c:ser>
          <c:idx val="1"/>
          <c:order val="8"/>
          <c:tx>
            <c:v>2025선</c:v>
          </c:tx>
          <c:spPr>
            <a:ln w="25400">
              <a:solidFill>
                <a:srgbClr val="C00000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관리비_Kenneth!$AC$96:$AC$107</c:f>
              <c:numCache>
                <c:formatCode>#,##0_);[Red]\(#,##0\)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2D1-474B-9A4D-FB6A627DE055}"/>
            </c:ext>
          </c:extLst>
        </c:ser>
        <c:ser>
          <c:idx val="3"/>
          <c:order val="9"/>
          <c:tx>
            <c:v>2026선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관리비_Kenneth!$AC$108:$AC$119</c:f>
              <c:numCache>
                <c:formatCode>#,##0_);[Red]\(#,##0\)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2D1-474B-9A4D-FB6A627DE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447128"/>
        <c:axId val="506448304"/>
      </c:lineChart>
      <c:catAx>
        <c:axId val="50644712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>
            <a:solidFill>
              <a:sysClr val="window" lastClr="FFFFFF">
                <a:lumMod val="85000"/>
              </a:sysClr>
            </a:solidFill>
          </a:ln>
        </c:spPr>
        <c:txPr>
          <a:bodyPr/>
          <a:lstStyle/>
          <a:p>
            <a:pPr>
              <a:defRPr sz="7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06448304"/>
        <c:crosses val="autoZero"/>
        <c:auto val="1"/>
        <c:lblAlgn val="ctr"/>
        <c:lblOffset val="100"/>
        <c:noMultiLvlLbl val="0"/>
      </c:catAx>
      <c:valAx>
        <c:axId val="506448304"/>
        <c:scaling>
          <c:orientation val="minMax"/>
          <c:max val="11"/>
          <c:min val="5"/>
        </c:scaling>
        <c:delete val="0"/>
        <c:axPos val="l"/>
        <c:majorGridlines>
          <c:spPr>
            <a:ln>
              <a:solidFill>
                <a:sysClr val="window" lastClr="FFFFFF">
                  <a:lumMod val="85000"/>
                </a:sysClr>
              </a:solidFill>
            </a:ln>
          </c:spPr>
        </c:majorGridlines>
        <c:numFmt formatCode="#,##0_);[Red]\(#,##0\)" sourceLinked="1"/>
        <c:majorTickMark val="none"/>
        <c:minorTickMark val="none"/>
        <c:tickLblPos val="high"/>
        <c:spPr>
          <a:ln>
            <a:solidFill>
              <a:sysClr val="window" lastClr="FFFFFF">
                <a:lumMod val="85000"/>
              </a:sys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06447128"/>
        <c:crosses val="autoZero"/>
        <c:crossBetween val="between"/>
      </c:valAx>
    </c:plotArea>
    <c:legend>
      <c:legendPos val="t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37800447868032389"/>
          <c:y val="0.18076717378056928"/>
          <c:w val="0.43790374166415458"/>
          <c:h val="7.8460090932571322E-2"/>
        </c:manualLayout>
      </c:layout>
      <c:overlay val="1"/>
      <c:txPr>
        <a:bodyPr/>
        <a:lstStyle/>
        <a:p>
          <a:pPr>
            <a:defRPr>
              <a:solidFill>
                <a:schemeClr val="tx1">
                  <a:lumMod val="50000"/>
                  <a:lumOff val="50000"/>
                </a:schemeClr>
              </a:solidFill>
            </a:defRPr>
          </a:pPr>
          <a:endParaRPr lang="ko-KR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357390193043292E-2"/>
          <c:y val="2.8915373080948773E-2"/>
          <c:w val="0.89935618442487153"/>
          <c:h val="0.81508163452799298"/>
        </c:manualLayout>
      </c:layout>
      <c:lineChart>
        <c:grouping val="standard"/>
        <c:varyColors val="0"/>
        <c:ser>
          <c:idx val="0"/>
          <c:order val="0"/>
          <c:tx>
            <c:strRef>
              <c:f>관리비_Kenneth!$AN$2</c:f>
              <c:strCache>
                <c:ptCount val="1"/>
                <c:pt idx="0">
                  <c:v>공용관리비</c:v>
                </c:pt>
              </c:strCache>
            </c:strRef>
          </c:tx>
          <c:spPr>
            <a:ln w="28575"/>
          </c:spPr>
          <c:marker>
            <c:symbol val="none"/>
          </c:marker>
          <c:trendline>
            <c:spPr>
              <a:ln w="19050">
                <a:solidFill>
                  <a:srgbClr val="0070C0"/>
                </a:solidFill>
                <a:prstDash val="sysDash"/>
              </a:ln>
            </c:spPr>
            <c:trendlineType val="power"/>
            <c:dispRSqr val="0"/>
            <c:dispEq val="0"/>
          </c:trendline>
          <c:cat>
            <c:numRef>
              <c:f>(관리비_Kenneth!$A$4:$A$50,관리비_Kenneth!$A$57,관리비_Kenneth!$A$60:$A$71,관리비_Kenneth!$A$72:$A$83,관리비_Kenneth!$A$84:$A$95,관리비_Kenneth!$A$96:$A$107,관리비_Kenneth!$A$108:$A$119,관리비_Kenneth!$A$120:$A$131,관리비_Kenneth!$A$132:$A$143,관리비_Kenneth!$A$144:$A$155,관리비_Kenneth!$A$156:$A$169)</c:f>
              <c:numCache>
                <c:formatCode>yyyy/mm</c:formatCode>
                <c:ptCount val="158"/>
                <c:pt idx="0">
                  <c:v>43132</c:v>
                </c:pt>
                <c:pt idx="1">
                  <c:v>43160</c:v>
                </c:pt>
                <c:pt idx="2">
                  <c:v>43191</c:v>
                </c:pt>
                <c:pt idx="3">
                  <c:v>43221</c:v>
                </c:pt>
                <c:pt idx="4">
                  <c:v>43252</c:v>
                </c:pt>
                <c:pt idx="5">
                  <c:v>43282</c:v>
                </c:pt>
                <c:pt idx="6">
                  <c:v>43313</c:v>
                </c:pt>
                <c:pt idx="7">
                  <c:v>43344</c:v>
                </c:pt>
                <c:pt idx="8">
                  <c:v>43374</c:v>
                </c:pt>
                <c:pt idx="9">
                  <c:v>43405</c:v>
                </c:pt>
                <c:pt idx="10">
                  <c:v>43435</c:v>
                </c:pt>
                <c:pt idx="11">
                  <c:v>43466</c:v>
                </c:pt>
                <c:pt idx="12">
                  <c:v>43497</c:v>
                </c:pt>
                <c:pt idx="13">
                  <c:v>43525</c:v>
                </c:pt>
                <c:pt idx="14">
                  <c:v>43556</c:v>
                </c:pt>
                <c:pt idx="15">
                  <c:v>43586</c:v>
                </c:pt>
                <c:pt idx="16">
                  <c:v>43617</c:v>
                </c:pt>
                <c:pt idx="17">
                  <c:v>43647</c:v>
                </c:pt>
                <c:pt idx="18">
                  <c:v>43678</c:v>
                </c:pt>
                <c:pt idx="19">
                  <c:v>43709</c:v>
                </c:pt>
                <c:pt idx="20">
                  <c:v>43739</c:v>
                </c:pt>
                <c:pt idx="21">
                  <c:v>43770</c:v>
                </c:pt>
                <c:pt idx="22">
                  <c:v>43800</c:v>
                </c:pt>
                <c:pt idx="23">
                  <c:v>43831</c:v>
                </c:pt>
                <c:pt idx="24">
                  <c:v>43862</c:v>
                </c:pt>
                <c:pt idx="25">
                  <c:v>43891</c:v>
                </c:pt>
                <c:pt idx="26">
                  <c:v>43922</c:v>
                </c:pt>
                <c:pt idx="27">
                  <c:v>43952</c:v>
                </c:pt>
                <c:pt idx="28">
                  <c:v>43983</c:v>
                </c:pt>
                <c:pt idx="29">
                  <c:v>44013</c:v>
                </c:pt>
                <c:pt idx="30">
                  <c:v>44044</c:v>
                </c:pt>
                <c:pt idx="31">
                  <c:v>44075</c:v>
                </c:pt>
                <c:pt idx="32">
                  <c:v>44105</c:v>
                </c:pt>
                <c:pt idx="33">
                  <c:v>44136</c:v>
                </c:pt>
                <c:pt idx="34">
                  <c:v>44166</c:v>
                </c:pt>
                <c:pt idx="35">
                  <c:v>44197</c:v>
                </c:pt>
                <c:pt idx="36">
                  <c:v>44228</c:v>
                </c:pt>
                <c:pt idx="37">
                  <c:v>44256</c:v>
                </c:pt>
                <c:pt idx="38">
                  <c:v>44287</c:v>
                </c:pt>
                <c:pt idx="39">
                  <c:v>44317</c:v>
                </c:pt>
                <c:pt idx="40">
                  <c:v>44348</c:v>
                </c:pt>
                <c:pt idx="41">
                  <c:v>44378</c:v>
                </c:pt>
                <c:pt idx="42">
                  <c:v>44409</c:v>
                </c:pt>
                <c:pt idx="43">
                  <c:v>44440</c:v>
                </c:pt>
                <c:pt idx="44">
                  <c:v>44470</c:v>
                </c:pt>
                <c:pt idx="45">
                  <c:v>44501</c:v>
                </c:pt>
                <c:pt idx="46">
                  <c:v>44531</c:v>
                </c:pt>
                <c:pt idx="47">
                  <c:v>44562</c:v>
                </c:pt>
                <c:pt idx="48">
                  <c:v>44593</c:v>
                </c:pt>
                <c:pt idx="49">
                  <c:v>44621</c:v>
                </c:pt>
                <c:pt idx="50">
                  <c:v>44652</c:v>
                </c:pt>
                <c:pt idx="51">
                  <c:v>44682</c:v>
                </c:pt>
                <c:pt idx="52">
                  <c:v>44713</c:v>
                </c:pt>
                <c:pt idx="53">
                  <c:v>44743</c:v>
                </c:pt>
                <c:pt idx="54">
                  <c:v>44774</c:v>
                </c:pt>
                <c:pt idx="55">
                  <c:v>44805</c:v>
                </c:pt>
                <c:pt idx="56">
                  <c:v>44835</c:v>
                </c:pt>
                <c:pt idx="57">
                  <c:v>44866</c:v>
                </c:pt>
                <c:pt idx="58">
                  <c:v>44896</c:v>
                </c:pt>
                <c:pt idx="59">
                  <c:v>44927</c:v>
                </c:pt>
                <c:pt idx="60">
                  <c:v>44958</c:v>
                </c:pt>
                <c:pt idx="61">
                  <c:v>44986</c:v>
                </c:pt>
                <c:pt idx="62">
                  <c:v>45017</c:v>
                </c:pt>
                <c:pt idx="63">
                  <c:v>45047</c:v>
                </c:pt>
                <c:pt idx="64">
                  <c:v>45078</c:v>
                </c:pt>
                <c:pt idx="65">
                  <c:v>45108</c:v>
                </c:pt>
                <c:pt idx="66">
                  <c:v>45139</c:v>
                </c:pt>
                <c:pt idx="67">
                  <c:v>45170</c:v>
                </c:pt>
                <c:pt idx="68">
                  <c:v>45200</c:v>
                </c:pt>
                <c:pt idx="69">
                  <c:v>45231</c:v>
                </c:pt>
                <c:pt idx="70">
                  <c:v>45261</c:v>
                </c:pt>
                <c:pt idx="71">
                  <c:v>45292</c:v>
                </c:pt>
                <c:pt idx="72">
                  <c:v>45323</c:v>
                </c:pt>
                <c:pt idx="73">
                  <c:v>45352</c:v>
                </c:pt>
                <c:pt idx="74">
                  <c:v>45383</c:v>
                </c:pt>
                <c:pt idx="75">
                  <c:v>45413</c:v>
                </c:pt>
                <c:pt idx="76">
                  <c:v>45444</c:v>
                </c:pt>
                <c:pt idx="77">
                  <c:v>45474</c:v>
                </c:pt>
                <c:pt idx="78">
                  <c:v>45505</c:v>
                </c:pt>
                <c:pt idx="79">
                  <c:v>45536</c:v>
                </c:pt>
                <c:pt idx="80">
                  <c:v>45566</c:v>
                </c:pt>
                <c:pt idx="81">
                  <c:v>45597</c:v>
                </c:pt>
                <c:pt idx="82">
                  <c:v>45627</c:v>
                </c:pt>
                <c:pt idx="83">
                  <c:v>45658</c:v>
                </c:pt>
                <c:pt idx="84">
                  <c:v>45689</c:v>
                </c:pt>
                <c:pt idx="85">
                  <c:v>45717</c:v>
                </c:pt>
                <c:pt idx="86">
                  <c:v>45748</c:v>
                </c:pt>
                <c:pt idx="87">
                  <c:v>45778</c:v>
                </c:pt>
                <c:pt idx="88">
                  <c:v>45809</c:v>
                </c:pt>
                <c:pt idx="89">
                  <c:v>45839</c:v>
                </c:pt>
                <c:pt idx="90">
                  <c:v>45870</c:v>
                </c:pt>
                <c:pt idx="91">
                  <c:v>45901</c:v>
                </c:pt>
                <c:pt idx="92">
                  <c:v>45931</c:v>
                </c:pt>
                <c:pt idx="93">
                  <c:v>45962</c:v>
                </c:pt>
                <c:pt idx="94">
                  <c:v>45992</c:v>
                </c:pt>
                <c:pt idx="95">
                  <c:v>46023</c:v>
                </c:pt>
                <c:pt idx="96">
                  <c:v>46054</c:v>
                </c:pt>
                <c:pt idx="97">
                  <c:v>46082</c:v>
                </c:pt>
                <c:pt idx="98">
                  <c:v>46113</c:v>
                </c:pt>
                <c:pt idx="99">
                  <c:v>46143</c:v>
                </c:pt>
                <c:pt idx="100">
                  <c:v>46174</c:v>
                </c:pt>
                <c:pt idx="101">
                  <c:v>46204</c:v>
                </c:pt>
                <c:pt idx="102">
                  <c:v>46235</c:v>
                </c:pt>
                <c:pt idx="103">
                  <c:v>46266</c:v>
                </c:pt>
                <c:pt idx="104">
                  <c:v>46296</c:v>
                </c:pt>
                <c:pt idx="105">
                  <c:v>46327</c:v>
                </c:pt>
                <c:pt idx="106">
                  <c:v>46357</c:v>
                </c:pt>
                <c:pt idx="107">
                  <c:v>46388</c:v>
                </c:pt>
                <c:pt idx="108">
                  <c:v>46419</c:v>
                </c:pt>
                <c:pt idx="109">
                  <c:v>46447</c:v>
                </c:pt>
                <c:pt idx="110">
                  <c:v>46478</c:v>
                </c:pt>
                <c:pt idx="111">
                  <c:v>46508</c:v>
                </c:pt>
                <c:pt idx="112">
                  <c:v>46539</c:v>
                </c:pt>
                <c:pt idx="113">
                  <c:v>46569</c:v>
                </c:pt>
                <c:pt idx="114">
                  <c:v>46600</c:v>
                </c:pt>
                <c:pt idx="115">
                  <c:v>46631</c:v>
                </c:pt>
                <c:pt idx="116">
                  <c:v>46661</c:v>
                </c:pt>
                <c:pt idx="117">
                  <c:v>46692</c:v>
                </c:pt>
                <c:pt idx="118">
                  <c:v>46722</c:v>
                </c:pt>
                <c:pt idx="119">
                  <c:v>46753</c:v>
                </c:pt>
                <c:pt idx="120">
                  <c:v>46784</c:v>
                </c:pt>
                <c:pt idx="121">
                  <c:v>46813</c:v>
                </c:pt>
                <c:pt idx="122">
                  <c:v>46844</c:v>
                </c:pt>
                <c:pt idx="123">
                  <c:v>46874</c:v>
                </c:pt>
                <c:pt idx="124">
                  <c:v>46905</c:v>
                </c:pt>
                <c:pt idx="125">
                  <c:v>46935</c:v>
                </c:pt>
                <c:pt idx="126">
                  <c:v>46966</c:v>
                </c:pt>
                <c:pt idx="127">
                  <c:v>46997</c:v>
                </c:pt>
                <c:pt idx="128">
                  <c:v>47027</c:v>
                </c:pt>
                <c:pt idx="129">
                  <c:v>47058</c:v>
                </c:pt>
                <c:pt idx="130">
                  <c:v>47088</c:v>
                </c:pt>
                <c:pt idx="131">
                  <c:v>47119</c:v>
                </c:pt>
                <c:pt idx="132">
                  <c:v>47150</c:v>
                </c:pt>
                <c:pt idx="133">
                  <c:v>47178</c:v>
                </c:pt>
                <c:pt idx="134">
                  <c:v>47209</c:v>
                </c:pt>
                <c:pt idx="135">
                  <c:v>47239</c:v>
                </c:pt>
                <c:pt idx="136">
                  <c:v>47270</c:v>
                </c:pt>
                <c:pt idx="137">
                  <c:v>47300</c:v>
                </c:pt>
                <c:pt idx="138">
                  <c:v>47331</c:v>
                </c:pt>
                <c:pt idx="139">
                  <c:v>47362</c:v>
                </c:pt>
                <c:pt idx="140">
                  <c:v>47392</c:v>
                </c:pt>
                <c:pt idx="141">
                  <c:v>47423</c:v>
                </c:pt>
                <c:pt idx="142">
                  <c:v>47453</c:v>
                </c:pt>
                <c:pt idx="143">
                  <c:v>47484</c:v>
                </c:pt>
                <c:pt idx="144">
                  <c:v>47515</c:v>
                </c:pt>
                <c:pt idx="145">
                  <c:v>47543</c:v>
                </c:pt>
                <c:pt idx="146">
                  <c:v>47574</c:v>
                </c:pt>
                <c:pt idx="147">
                  <c:v>47604</c:v>
                </c:pt>
                <c:pt idx="148">
                  <c:v>47635</c:v>
                </c:pt>
                <c:pt idx="149">
                  <c:v>47665</c:v>
                </c:pt>
                <c:pt idx="150">
                  <c:v>47696</c:v>
                </c:pt>
                <c:pt idx="151">
                  <c:v>47727</c:v>
                </c:pt>
                <c:pt idx="152">
                  <c:v>47757</c:v>
                </c:pt>
                <c:pt idx="153">
                  <c:v>47788</c:v>
                </c:pt>
                <c:pt idx="154">
                  <c:v>47818</c:v>
                </c:pt>
              </c:numCache>
            </c:numRef>
          </c:cat>
          <c:val>
            <c:numRef>
              <c:f>(관리비_Kenneth!$AN$4:$AN$50,관리비_Kenneth!$AN$57,관리비_Kenneth!$AN$60:$AN$71,관리비_Kenneth!$AN$72:$AN$83,관리비_Kenneth!$AN$84:$AN$95,관리비_Kenneth!$AN$96:$AN$107,관리비_Kenneth!$AN$108:$AN$119,관리비_Kenneth!$AN$120:$AN$131,관리비_Kenneth!$AN$132:$AN$143,관리비_Kenneth!$AN$144:$AN$155,관리비_Kenneth!$AN$156:$AN$166)</c:f>
              <c:numCache>
                <c:formatCode>#,##0_ ;[Red]\-#,##0\ </c:formatCode>
                <c:ptCount val="155"/>
                <c:pt idx="2">
                  <c:v>100426</c:v>
                </c:pt>
                <c:pt idx="3">
                  <c:v>98160</c:v>
                </c:pt>
                <c:pt idx="4">
                  <c:v>98220</c:v>
                </c:pt>
                <c:pt idx="5">
                  <c:v>97840</c:v>
                </c:pt>
                <c:pt idx="6">
                  <c:v>97330</c:v>
                </c:pt>
                <c:pt idx="7">
                  <c:v>84330</c:v>
                </c:pt>
                <c:pt idx="8">
                  <c:v>93830</c:v>
                </c:pt>
                <c:pt idx="9">
                  <c:v>97760</c:v>
                </c:pt>
                <c:pt idx="10">
                  <c:v>100010</c:v>
                </c:pt>
                <c:pt idx="11">
                  <c:v>95510</c:v>
                </c:pt>
                <c:pt idx="12">
                  <c:v>105620</c:v>
                </c:pt>
                <c:pt idx="13">
                  <c:v>109080</c:v>
                </c:pt>
                <c:pt idx="14">
                  <c:v>104800</c:v>
                </c:pt>
                <c:pt idx="15">
                  <c:v>101840</c:v>
                </c:pt>
                <c:pt idx="16">
                  <c:v>104560</c:v>
                </c:pt>
                <c:pt idx="17">
                  <c:v>100830</c:v>
                </c:pt>
                <c:pt idx="18">
                  <c:v>102270</c:v>
                </c:pt>
                <c:pt idx="19">
                  <c:v>101660</c:v>
                </c:pt>
                <c:pt idx="20">
                  <c:v>103060</c:v>
                </c:pt>
                <c:pt idx="21">
                  <c:v>105090</c:v>
                </c:pt>
                <c:pt idx="22">
                  <c:v>106570</c:v>
                </c:pt>
                <c:pt idx="23">
                  <c:v>107850</c:v>
                </c:pt>
                <c:pt idx="24">
                  <c:v>103620</c:v>
                </c:pt>
                <c:pt idx="25">
                  <c:v>108180</c:v>
                </c:pt>
                <c:pt idx="26">
                  <c:v>106900</c:v>
                </c:pt>
                <c:pt idx="27">
                  <c:v>103010</c:v>
                </c:pt>
                <c:pt idx="28">
                  <c:v>105520</c:v>
                </c:pt>
                <c:pt idx="29">
                  <c:v>103370</c:v>
                </c:pt>
                <c:pt idx="30">
                  <c:v>105760</c:v>
                </c:pt>
                <c:pt idx="31">
                  <c:v>105230</c:v>
                </c:pt>
                <c:pt idx="32">
                  <c:v>107090</c:v>
                </c:pt>
                <c:pt idx="33">
                  <c:v>106730</c:v>
                </c:pt>
                <c:pt idx="34">
                  <c:v>107080</c:v>
                </c:pt>
                <c:pt idx="35">
                  <c:v>109180</c:v>
                </c:pt>
                <c:pt idx="36">
                  <c:v>122580</c:v>
                </c:pt>
                <c:pt idx="37">
                  <c:v>119460</c:v>
                </c:pt>
                <c:pt idx="38">
                  <c:v>119250</c:v>
                </c:pt>
                <c:pt idx="39">
                  <c:v>120970</c:v>
                </c:pt>
                <c:pt idx="40">
                  <c:v>118430</c:v>
                </c:pt>
                <c:pt idx="41">
                  <c:v>117730</c:v>
                </c:pt>
                <c:pt idx="42">
                  <c:v>119930</c:v>
                </c:pt>
                <c:pt idx="43">
                  <c:v>115370</c:v>
                </c:pt>
                <c:pt idx="44">
                  <c:v>118190</c:v>
                </c:pt>
                <c:pt idx="45">
                  <c:v>117840</c:v>
                </c:pt>
                <c:pt idx="46">
                  <c:v>118100</c:v>
                </c:pt>
                <c:pt idx="47" formatCode="#,##0_);[Red]\(#,##0\)">
                  <c:v>102810</c:v>
                </c:pt>
                <c:pt idx="48" formatCode="#,##0_);[Red]\(#,##0\)">
                  <c:v>104170</c:v>
                </c:pt>
                <c:pt idx="49" formatCode="#,##0_);[Red]\(#,##0\)">
                  <c:v>108990</c:v>
                </c:pt>
                <c:pt idx="50" formatCode="#,##0_);[Red]\(#,##0\)">
                  <c:v>107100</c:v>
                </c:pt>
                <c:pt idx="51" formatCode="#,##0_);[Red]\(#,##0\)">
                  <c:v>105600</c:v>
                </c:pt>
                <c:pt idx="52" formatCode="#,##0_);[Red]\(#,##0\)">
                  <c:v>99750</c:v>
                </c:pt>
                <c:pt idx="53" formatCode="#,##0_);[Red]\(#,##0\)">
                  <c:v>101600</c:v>
                </c:pt>
                <c:pt idx="54" formatCode="#,##0_);[Red]\(#,##0\)">
                  <c:v>106150</c:v>
                </c:pt>
                <c:pt idx="55" formatCode="#,##0_);[Red]\(#,##0\)">
                  <c:v>105680</c:v>
                </c:pt>
                <c:pt idx="56" formatCode="#,##0_);[Red]\(#,##0\)">
                  <c:v>105310</c:v>
                </c:pt>
                <c:pt idx="57" formatCode="#,##0_);[Red]\(#,##0\)">
                  <c:v>98370</c:v>
                </c:pt>
                <c:pt idx="58" formatCode="#,##0_);[Red]\(#,##0\)">
                  <c:v>103240</c:v>
                </c:pt>
                <c:pt idx="59" formatCode="#,##0_);[Red]\(#,##0\)">
                  <c:v>105170</c:v>
                </c:pt>
                <c:pt idx="60" formatCode="#,##0_);[Red]\(#,##0\)">
                  <c:v>112650</c:v>
                </c:pt>
                <c:pt idx="61" formatCode="#,##0_);[Red]\(#,##0\)">
                  <c:v>115670</c:v>
                </c:pt>
                <c:pt idx="62" formatCode="#,##0_);[Red]\(#,##0\)">
                  <c:v>110490</c:v>
                </c:pt>
                <c:pt idx="63" formatCode="#,##0_);[Red]\(#,##0\)">
                  <c:v>107990</c:v>
                </c:pt>
                <c:pt idx="64" formatCode="#,##0_);[Red]\(#,##0\)">
                  <c:v>106230</c:v>
                </c:pt>
                <c:pt idx="65" formatCode="#,##0_);[Red]\(#,##0\)">
                  <c:v>109760</c:v>
                </c:pt>
                <c:pt idx="66" formatCode="#,##0_);[Red]\(#,##0\)">
                  <c:v>109290</c:v>
                </c:pt>
                <c:pt idx="67" formatCode="#,##0_);[Red]\(#,##0\)">
                  <c:v>114840</c:v>
                </c:pt>
                <c:pt idx="68" formatCode="#,##0_);[Red]\(#,##0\)">
                  <c:v>112110</c:v>
                </c:pt>
                <c:pt idx="69" formatCode="#,##0_);[Red]\(#,##0\)">
                  <c:v>107907.67196119935</c:v>
                </c:pt>
                <c:pt idx="70" formatCode="#,##0_);[Red]\(#,##0\)">
                  <c:v>109160</c:v>
                </c:pt>
                <c:pt idx="71" formatCode="#,##0_);[Red]\(#,##0\)">
                  <c:v>112170</c:v>
                </c:pt>
                <c:pt idx="72" formatCode="#,##0_);[Red]\(#,##0\)">
                  <c:v>118030</c:v>
                </c:pt>
                <c:pt idx="73" formatCode="#,##0_);[Red]\(#,##0\)">
                  <c:v>119050</c:v>
                </c:pt>
                <c:pt idx="74" formatCode="#,##0_);[Red]\(#,##0\)">
                  <c:v>117090</c:v>
                </c:pt>
                <c:pt idx="75" formatCode="#,##0_);[Red]\(#,##0\)">
                  <c:v>128850</c:v>
                </c:pt>
                <c:pt idx="76" formatCode="#,##0_);[Red]\(#,##0\)">
                  <c:v>114580</c:v>
                </c:pt>
                <c:pt idx="77" formatCode="#,##0_);[Red]\(#,##0\)">
                  <c:v>121440</c:v>
                </c:pt>
                <c:pt idx="78" formatCode="#,##0_);[Red]\(#,##0\)">
                  <c:v>125280</c:v>
                </c:pt>
                <c:pt idx="79" formatCode="#,##0_);[Red]\(#,##0\)">
                  <c:v>126330</c:v>
                </c:pt>
                <c:pt idx="80" formatCode="#,##0_);[Red]\(#,##0\)">
                  <c:v>127640</c:v>
                </c:pt>
                <c:pt idx="81" formatCode="#,##0_);[Red]\(#,##0\)">
                  <c:v>130110</c:v>
                </c:pt>
                <c:pt idx="82" formatCode="#,##0_);[Red]\(#,##0\)">
                  <c:v>128280</c:v>
                </c:pt>
                <c:pt idx="83" formatCode="#,##0_);[Red]\(#,##0\)">
                  <c:v>126020</c:v>
                </c:pt>
                <c:pt idx="84" formatCode="#,##0_);[Red]\(#,##0\)">
                  <c:v>130370</c:v>
                </c:pt>
                <c:pt idx="85" formatCode="#,##0_);[Red]\(#,##0\)">
                  <c:v>135000</c:v>
                </c:pt>
                <c:pt idx="86" formatCode="#,##0_);[Red]\(#,##0\)">
                  <c:v>130030</c:v>
                </c:pt>
                <c:pt idx="87" formatCode="#,##0_);[Red]\(#,##0\)">
                  <c:v>130650</c:v>
                </c:pt>
                <c:pt idx="88" formatCode="#,##0_);[Red]\(#,##0\)">
                  <c:v>128700</c:v>
                </c:pt>
                <c:pt idx="89" formatCode="#,##0_);[Red]\(#,##0\)">
                  <c:v>128680</c:v>
                </c:pt>
                <c:pt idx="90" formatCode="#,##0_);[Red]\(#,##0\)">
                  <c:v>131970</c:v>
                </c:pt>
                <c:pt idx="91" formatCode="#,##0_);[Red]\(#,##0\)">
                  <c:v>132610</c:v>
                </c:pt>
                <c:pt idx="92" formatCode="#,##0_);[Red]\(#,##0\)">
                  <c:v>131590</c:v>
                </c:pt>
                <c:pt idx="93" formatCode="#,##0_);[Red]\(#,##0\)">
                  <c:v>131150</c:v>
                </c:pt>
                <c:pt idx="94" formatCode="#,##0_);[Red]\(#,##0\)">
                  <c:v>128300</c:v>
                </c:pt>
                <c:pt idx="95" formatCode="#,##0_);[Red]\(#,##0\)">
                  <c:v>128990</c:v>
                </c:pt>
                <c:pt idx="96" formatCode="#,##0_);[Red]\(#,##0\)">
                  <c:v>137470</c:v>
                </c:pt>
                <c:pt idx="97" formatCode="#,##0_);[Red]\(#,##0\)">
                  <c:v>139510</c:v>
                </c:pt>
                <c:pt idx="98" formatCode="#,##0_);[Red]\(#,##0\)">
                  <c:v>135570</c:v>
                </c:pt>
                <c:pt idx="99" formatCode="#,##0_);[Red]\(#,##0\)">
                  <c:v>136680</c:v>
                </c:pt>
                <c:pt idx="100" formatCode="#,##0_);[Red]\(#,##0\)">
                  <c:v>130760</c:v>
                </c:pt>
                <c:pt idx="101" formatCode="#,##0_);[Red]\(#,##0\)">
                  <c:v>137550</c:v>
                </c:pt>
                <c:pt idx="102" formatCode="#,##0_);[Red]\(#,##0\)">
                  <c:v>142880</c:v>
                </c:pt>
                <c:pt idx="103" formatCode="#,##0_);[Red]\(#,##0\)">
                  <c:v>144510</c:v>
                </c:pt>
                <c:pt idx="104" formatCode="#,##0_);[Red]\(#,##0\)">
                  <c:v>145870</c:v>
                </c:pt>
                <c:pt idx="105" formatCode="#,##0_);[Red]\(#,##0\)">
                  <c:v>144260</c:v>
                </c:pt>
                <c:pt idx="106" formatCode="#,##0_);[Red]\(#,##0\)">
                  <c:v>138170</c:v>
                </c:pt>
                <c:pt idx="107" formatCode="#,##0_);[Red]\(#,##0\)">
                  <c:v>141440</c:v>
                </c:pt>
                <c:pt idx="108" formatCode="#,##0_);[Red]\(#,##0\)">
                  <c:v>144884.625</c:v>
                </c:pt>
                <c:pt idx="109" formatCode="#,##0_);[Red]\(#,##0\)">
                  <c:v>145204.625</c:v>
                </c:pt>
                <c:pt idx="110" formatCode="#,##0_);[Red]\(#,##0\)">
                  <c:v>142014.625</c:v>
                </c:pt>
                <c:pt idx="111" formatCode="#,##0_);[Red]\(#,##0\)">
                  <c:v>146714.625</c:v>
                </c:pt>
                <c:pt idx="112" formatCode="#,##0_);[Red]\(#,##0\)">
                  <c:v>140324.625</c:v>
                </c:pt>
                <c:pt idx="113" formatCode="#,##0_);[Red]\(#,##0\)">
                  <c:v>142424.625</c:v>
                </c:pt>
                <c:pt idx="114" formatCode="#,##0_);[Red]\(#,##0\)">
                  <c:v>144054.625</c:v>
                </c:pt>
                <c:pt idx="115" formatCode="#,##0_);[Red]\(#,##0\)">
                  <c:v>145704.625</c:v>
                </c:pt>
                <c:pt idx="116" formatCode="#,##0_);[Red]\(#,##0\)">
                  <c:v>147074.625</c:v>
                </c:pt>
                <c:pt idx="117" formatCode="#,##0_);[Red]\(#,##0\)">
                  <c:v>145444.625</c:v>
                </c:pt>
                <c:pt idx="118" formatCode="#,##0_);[Red]\(#,##0\)">
                  <c:v>139294.625</c:v>
                </c:pt>
                <c:pt idx="119" formatCode="#,##0_);[Red]\(#,##0\)">
                  <c:v>142857.22500000001</c:v>
                </c:pt>
                <c:pt idx="120" formatCode="#,##0_);[Red]\(#,##0\)">
                  <c:v>146337.40781249999</c:v>
                </c:pt>
                <c:pt idx="121" formatCode="#,##0_);[Red]\(#,##0\)">
                  <c:v>146657.40781249999</c:v>
                </c:pt>
                <c:pt idx="122" formatCode="#,##0_);[Red]\(#,##0\)">
                  <c:v>143437.40781249999</c:v>
                </c:pt>
                <c:pt idx="123" formatCode="#,##0_);[Red]\(#,##0\)">
                  <c:v>148187.40781249999</c:v>
                </c:pt>
                <c:pt idx="124" formatCode="#,##0_);[Red]\(#,##0\)">
                  <c:v>141727.40781249999</c:v>
                </c:pt>
                <c:pt idx="125" formatCode="#,##0_);[Red]\(#,##0\)">
                  <c:v>143857.40781249999</c:v>
                </c:pt>
                <c:pt idx="126" formatCode="#,##0_);[Red]\(#,##0\)">
                  <c:v>145497.40781249999</c:v>
                </c:pt>
                <c:pt idx="127" formatCode="#,##0_);[Red]\(#,##0\)">
                  <c:v>147167.40781249999</c:v>
                </c:pt>
                <c:pt idx="128" formatCode="#,##0_);[Red]\(#,##0\)">
                  <c:v>148547.40781249999</c:v>
                </c:pt>
                <c:pt idx="129" formatCode="#,##0_);[Red]\(#,##0\)">
                  <c:v>146907.40781249999</c:v>
                </c:pt>
                <c:pt idx="130" formatCode="#,##0_);[Red]\(#,##0\)">
                  <c:v>140687.40781249999</c:v>
                </c:pt>
                <c:pt idx="131" formatCode="#,##0_);[Red]\(#,##0\)">
                  <c:v>153036.68581249999</c:v>
                </c:pt>
                <c:pt idx="132" formatCode="#,##0_);[Red]\(#,##0\)">
                  <c:v>156552.49591015623</c:v>
                </c:pt>
                <c:pt idx="133" formatCode="#,##0_);[Red]\(#,##0\)">
                  <c:v>156872.49591015623</c:v>
                </c:pt>
                <c:pt idx="134" formatCode="#,##0_);[Red]\(#,##0\)">
                  <c:v>153622.49591015623</c:v>
                </c:pt>
                <c:pt idx="135" formatCode="#,##0_);[Red]\(#,##0\)">
                  <c:v>158422.49591015623</c:v>
                </c:pt>
                <c:pt idx="136" formatCode="#,##0_);[Red]\(#,##0\)">
                  <c:v>151902.49591015623</c:v>
                </c:pt>
                <c:pt idx="137" formatCode="#,##0_);[Red]\(#,##0\)">
                  <c:v>154052.49591015623</c:v>
                </c:pt>
                <c:pt idx="138" formatCode="#,##0_);[Red]\(#,##0\)">
                  <c:v>155702.49591015623</c:v>
                </c:pt>
                <c:pt idx="139" formatCode="#,##0_);[Red]\(#,##0\)">
                  <c:v>157392.49591015623</c:v>
                </c:pt>
                <c:pt idx="140" formatCode="#,##0_);[Red]\(#,##0\)">
                  <c:v>158782.49591015623</c:v>
                </c:pt>
                <c:pt idx="141" formatCode="#,##0_);[Red]\(#,##0\)">
                  <c:v>157132.49591015623</c:v>
                </c:pt>
                <c:pt idx="142" formatCode="#,##0_);[Red]\(#,##0\)">
                  <c:v>150852.49591015623</c:v>
                </c:pt>
                <c:pt idx="143" formatCode="#,##0_);[Red]\(#,##0\)">
                  <c:v>154498.65225015624</c:v>
                </c:pt>
                <c:pt idx="144" formatCode="#,##0_);[Red]\(#,##0\)">
                  <c:v>158040.15997403319</c:v>
                </c:pt>
                <c:pt idx="145" formatCode="#,##0_);[Red]\(#,##0\)">
                  <c:v>158370.15997403319</c:v>
                </c:pt>
                <c:pt idx="146" formatCode="#,##0_);[Red]\(#,##0\)">
                  <c:v>155080.15997403319</c:v>
                </c:pt>
                <c:pt idx="147" formatCode="#,##0_);[Red]\(#,##0\)">
                  <c:v>159930.15997403319</c:v>
                </c:pt>
                <c:pt idx="148" formatCode="#,##0_);[Red]\(#,##0\)">
                  <c:v>153350.15997403319</c:v>
                </c:pt>
                <c:pt idx="149" formatCode="#,##0_);[Red]\(#,##0\)">
                  <c:v>155520.15997403319</c:v>
                </c:pt>
                <c:pt idx="150" formatCode="#,##0_);[Red]\(#,##0\)">
                  <c:v>157180.15997403319</c:v>
                </c:pt>
                <c:pt idx="151" formatCode="#,##0_);[Red]\(#,##0\)">
                  <c:v>158890.15997403319</c:v>
                </c:pt>
                <c:pt idx="152" formatCode="#,##0_);[Red]\(#,##0\)">
                  <c:v>160300.15997403319</c:v>
                </c:pt>
                <c:pt idx="153" formatCode="#,##0_);[Red]\(#,##0\)">
                  <c:v>158630.15997403319</c:v>
                </c:pt>
                <c:pt idx="154" formatCode="#,##0_);[Red]\(#,##0\)">
                  <c:v>152290.15997403319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9A-4C46-AB36-C836659024D2}"/>
            </c:ext>
          </c:extLst>
        </c:ser>
        <c:ser>
          <c:idx val="1"/>
          <c:order val="1"/>
          <c:tx>
            <c:strRef>
              <c:f>관리비_Kenneth!$AO$2</c:f>
              <c:strCache>
                <c:ptCount val="1"/>
                <c:pt idx="0">
                  <c:v>개별관리비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FF0000"/>
                </a:solidFill>
                <a:prstDash val="sysDash"/>
              </a:ln>
            </c:spPr>
            <c:trendlineType val="power"/>
            <c:dispRSqr val="0"/>
            <c:dispEq val="0"/>
          </c:trendline>
          <c:cat>
            <c:numRef>
              <c:f>(관리비_Kenneth!$A$4:$A$50,관리비_Kenneth!$A$57,관리비_Kenneth!$A$60:$A$71,관리비_Kenneth!$A$72:$A$83,관리비_Kenneth!$A$84:$A$95,관리비_Kenneth!$A$96:$A$107,관리비_Kenneth!$A$108:$A$119,관리비_Kenneth!$A$120:$A$131,관리비_Kenneth!$A$132:$A$143,관리비_Kenneth!$A$144:$A$155,관리비_Kenneth!$A$156:$A$169)</c:f>
              <c:numCache>
                <c:formatCode>yyyy/mm</c:formatCode>
                <c:ptCount val="158"/>
                <c:pt idx="0">
                  <c:v>43132</c:v>
                </c:pt>
                <c:pt idx="1">
                  <c:v>43160</c:v>
                </c:pt>
                <c:pt idx="2">
                  <c:v>43191</c:v>
                </c:pt>
                <c:pt idx="3">
                  <c:v>43221</c:v>
                </c:pt>
                <c:pt idx="4">
                  <c:v>43252</c:v>
                </c:pt>
                <c:pt idx="5">
                  <c:v>43282</c:v>
                </c:pt>
                <c:pt idx="6">
                  <c:v>43313</c:v>
                </c:pt>
                <c:pt idx="7">
                  <c:v>43344</c:v>
                </c:pt>
                <c:pt idx="8">
                  <c:v>43374</c:v>
                </c:pt>
                <c:pt idx="9">
                  <c:v>43405</c:v>
                </c:pt>
                <c:pt idx="10">
                  <c:v>43435</c:v>
                </c:pt>
                <c:pt idx="11">
                  <c:v>43466</c:v>
                </c:pt>
                <c:pt idx="12">
                  <c:v>43497</c:v>
                </c:pt>
                <c:pt idx="13">
                  <c:v>43525</c:v>
                </c:pt>
                <c:pt idx="14">
                  <c:v>43556</c:v>
                </c:pt>
                <c:pt idx="15">
                  <c:v>43586</c:v>
                </c:pt>
                <c:pt idx="16">
                  <c:v>43617</c:v>
                </c:pt>
                <c:pt idx="17">
                  <c:v>43647</c:v>
                </c:pt>
                <c:pt idx="18">
                  <c:v>43678</c:v>
                </c:pt>
                <c:pt idx="19">
                  <c:v>43709</c:v>
                </c:pt>
                <c:pt idx="20">
                  <c:v>43739</c:v>
                </c:pt>
                <c:pt idx="21">
                  <c:v>43770</c:v>
                </c:pt>
                <c:pt idx="22">
                  <c:v>43800</c:v>
                </c:pt>
                <c:pt idx="23">
                  <c:v>43831</c:v>
                </c:pt>
                <c:pt idx="24">
                  <c:v>43862</c:v>
                </c:pt>
                <c:pt idx="25">
                  <c:v>43891</c:v>
                </c:pt>
                <c:pt idx="26">
                  <c:v>43922</c:v>
                </c:pt>
                <c:pt idx="27">
                  <c:v>43952</c:v>
                </c:pt>
                <c:pt idx="28">
                  <c:v>43983</c:v>
                </c:pt>
                <c:pt idx="29">
                  <c:v>44013</c:v>
                </c:pt>
                <c:pt idx="30">
                  <c:v>44044</c:v>
                </c:pt>
                <c:pt idx="31">
                  <c:v>44075</c:v>
                </c:pt>
                <c:pt idx="32">
                  <c:v>44105</c:v>
                </c:pt>
                <c:pt idx="33">
                  <c:v>44136</c:v>
                </c:pt>
                <c:pt idx="34">
                  <c:v>44166</c:v>
                </c:pt>
                <c:pt idx="35">
                  <c:v>44197</c:v>
                </c:pt>
                <c:pt idx="36">
                  <c:v>44228</c:v>
                </c:pt>
                <c:pt idx="37">
                  <c:v>44256</c:v>
                </c:pt>
                <c:pt idx="38">
                  <c:v>44287</c:v>
                </c:pt>
                <c:pt idx="39">
                  <c:v>44317</c:v>
                </c:pt>
                <c:pt idx="40">
                  <c:v>44348</c:v>
                </c:pt>
                <c:pt idx="41">
                  <c:v>44378</c:v>
                </c:pt>
                <c:pt idx="42">
                  <c:v>44409</c:v>
                </c:pt>
                <c:pt idx="43">
                  <c:v>44440</c:v>
                </c:pt>
                <c:pt idx="44">
                  <c:v>44470</c:v>
                </c:pt>
                <c:pt idx="45">
                  <c:v>44501</c:v>
                </c:pt>
                <c:pt idx="46">
                  <c:v>44531</c:v>
                </c:pt>
                <c:pt idx="47">
                  <c:v>44562</c:v>
                </c:pt>
                <c:pt idx="48">
                  <c:v>44593</c:v>
                </c:pt>
                <c:pt idx="49">
                  <c:v>44621</c:v>
                </c:pt>
                <c:pt idx="50">
                  <c:v>44652</c:v>
                </c:pt>
                <c:pt idx="51">
                  <c:v>44682</c:v>
                </c:pt>
                <c:pt idx="52">
                  <c:v>44713</c:v>
                </c:pt>
                <c:pt idx="53">
                  <c:v>44743</c:v>
                </c:pt>
                <c:pt idx="54">
                  <c:v>44774</c:v>
                </c:pt>
                <c:pt idx="55">
                  <c:v>44805</c:v>
                </c:pt>
                <c:pt idx="56">
                  <c:v>44835</c:v>
                </c:pt>
                <c:pt idx="57">
                  <c:v>44866</c:v>
                </c:pt>
                <c:pt idx="58">
                  <c:v>44896</c:v>
                </c:pt>
                <c:pt idx="59">
                  <c:v>44927</c:v>
                </c:pt>
                <c:pt idx="60">
                  <c:v>44958</c:v>
                </c:pt>
                <c:pt idx="61">
                  <c:v>44986</c:v>
                </c:pt>
                <c:pt idx="62">
                  <c:v>45017</c:v>
                </c:pt>
                <c:pt idx="63">
                  <c:v>45047</c:v>
                </c:pt>
                <c:pt idx="64">
                  <c:v>45078</c:v>
                </c:pt>
                <c:pt idx="65">
                  <c:v>45108</c:v>
                </c:pt>
                <c:pt idx="66">
                  <c:v>45139</c:v>
                </c:pt>
                <c:pt idx="67">
                  <c:v>45170</c:v>
                </c:pt>
                <c:pt idx="68">
                  <c:v>45200</c:v>
                </c:pt>
                <c:pt idx="69">
                  <c:v>45231</c:v>
                </c:pt>
                <c:pt idx="70">
                  <c:v>45261</c:v>
                </c:pt>
                <c:pt idx="71">
                  <c:v>45292</c:v>
                </c:pt>
                <c:pt idx="72">
                  <c:v>45323</c:v>
                </c:pt>
                <c:pt idx="73">
                  <c:v>45352</c:v>
                </c:pt>
                <c:pt idx="74">
                  <c:v>45383</c:v>
                </c:pt>
                <c:pt idx="75">
                  <c:v>45413</c:v>
                </c:pt>
                <c:pt idx="76">
                  <c:v>45444</c:v>
                </c:pt>
                <c:pt idx="77">
                  <c:v>45474</c:v>
                </c:pt>
                <c:pt idx="78">
                  <c:v>45505</c:v>
                </c:pt>
                <c:pt idx="79">
                  <c:v>45536</c:v>
                </c:pt>
                <c:pt idx="80">
                  <c:v>45566</c:v>
                </c:pt>
                <c:pt idx="81">
                  <c:v>45597</c:v>
                </c:pt>
                <c:pt idx="82">
                  <c:v>45627</c:v>
                </c:pt>
                <c:pt idx="83">
                  <c:v>45658</c:v>
                </c:pt>
                <c:pt idx="84">
                  <c:v>45689</c:v>
                </c:pt>
                <c:pt idx="85">
                  <c:v>45717</c:v>
                </c:pt>
                <c:pt idx="86">
                  <c:v>45748</c:v>
                </c:pt>
                <c:pt idx="87">
                  <c:v>45778</c:v>
                </c:pt>
                <c:pt idx="88">
                  <c:v>45809</c:v>
                </c:pt>
                <c:pt idx="89">
                  <c:v>45839</c:v>
                </c:pt>
                <c:pt idx="90">
                  <c:v>45870</c:v>
                </c:pt>
                <c:pt idx="91">
                  <c:v>45901</c:v>
                </c:pt>
                <c:pt idx="92">
                  <c:v>45931</c:v>
                </c:pt>
                <c:pt idx="93">
                  <c:v>45962</c:v>
                </c:pt>
                <c:pt idx="94">
                  <c:v>45992</c:v>
                </c:pt>
                <c:pt idx="95">
                  <c:v>46023</c:v>
                </c:pt>
                <c:pt idx="96">
                  <c:v>46054</c:v>
                </c:pt>
                <c:pt idx="97">
                  <c:v>46082</c:v>
                </c:pt>
                <c:pt idx="98">
                  <c:v>46113</c:v>
                </c:pt>
                <c:pt idx="99">
                  <c:v>46143</c:v>
                </c:pt>
                <c:pt idx="100">
                  <c:v>46174</c:v>
                </c:pt>
                <c:pt idx="101">
                  <c:v>46204</c:v>
                </c:pt>
                <c:pt idx="102">
                  <c:v>46235</c:v>
                </c:pt>
                <c:pt idx="103">
                  <c:v>46266</c:v>
                </c:pt>
                <c:pt idx="104">
                  <c:v>46296</c:v>
                </c:pt>
                <c:pt idx="105">
                  <c:v>46327</c:v>
                </c:pt>
                <c:pt idx="106">
                  <c:v>46357</c:v>
                </c:pt>
                <c:pt idx="107">
                  <c:v>46388</c:v>
                </c:pt>
                <c:pt idx="108">
                  <c:v>46419</c:v>
                </c:pt>
                <c:pt idx="109">
                  <c:v>46447</c:v>
                </c:pt>
                <c:pt idx="110">
                  <c:v>46478</c:v>
                </c:pt>
                <c:pt idx="111">
                  <c:v>46508</c:v>
                </c:pt>
                <c:pt idx="112">
                  <c:v>46539</c:v>
                </c:pt>
                <c:pt idx="113">
                  <c:v>46569</c:v>
                </c:pt>
                <c:pt idx="114">
                  <c:v>46600</c:v>
                </c:pt>
                <c:pt idx="115">
                  <c:v>46631</c:v>
                </c:pt>
                <c:pt idx="116">
                  <c:v>46661</c:v>
                </c:pt>
                <c:pt idx="117">
                  <c:v>46692</c:v>
                </c:pt>
                <c:pt idx="118">
                  <c:v>46722</c:v>
                </c:pt>
                <c:pt idx="119">
                  <c:v>46753</c:v>
                </c:pt>
                <c:pt idx="120">
                  <c:v>46784</c:v>
                </c:pt>
                <c:pt idx="121">
                  <c:v>46813</c:v>
                </c:pt>
                <c:pt idx="122">
                  <c:v>46844</c:v>
                </c:pt>
                <c:pt idx="123">
                  <c:v>46874</c:v>
                </c:pt>
                <c:pt idx="124">
                  <c:v>46905</c:v>
                </c:pt>
                <c:pt idx="125">
                  <c:v>46935</c:v>
                </c:pt>
                <c:pt idx="126">
                  <c:v>46966</c:v>
                </c:pt>
                <c:pt idx="127">
                  <c:v>46997</c:v>
                </c:pt>
                <c:pt idx="128">
                  <c:v>47027</c:v>
                </c:pt>
                <c:pt idx="129">
                  <c:v>47058</c:v>
                </c:pt>
                <c:pt idx="130">
                  <c:v>47088</c:v>
                </c:pt>
                <c:pt idx="131">
                  <c:v>47119</c:v>
                </c:pt>
                <c:pt idx="132">
                  <c:v>47150</c:v>
                </c:pt>
                <c:pt idx="133">
                  <c:v>47178</c:v>
                </c:pt>
                <c:pt idx="134">
                  <c:v>47209</c:v>
                </c:pt>
                <c:pt idx="135">
                  <c:v>47239</c:v>
                </c:pt>
                <c:pt idx="136">
                  <c:v>47270</c:v>
                </c:pt>
                <c:pt idx="137">
                  <c:v>47300</c:v>
                </c:pt>
                <c:pt idx="138">
                  <c:v>47331</c:v>
                </c:pt>
                <c:pt idx="139">
                  <c:v>47362</c:v>
                </c:pt>
                <c:pt idx="140">
                  <c:v>47392</c:v>
                </c:pt>
                <c:pt idx="141">
                  <c:v>47423</c:v>
                </c:pt>
                <c:pt idx="142">
                  <c:v>47453</c:v>
                </c:pt>
                <c:pt idx="143">
                  <c:v>47484</c:v>
                </c:pt>
                <c:pt idx="144">
                  <c:v>47515</c:v>
                </c:pt>
                <c:pt idx="145">
                  <c:v>47543</c:v>
                </c:pt>
                <c:pt idx="146">
                  <c:v>47574</c:v>
                </c:pt>
                <c:pt idx="147">
                  <c:v>47604</c:v>
                </c:pt>
                <c:pt idx="148">
                  <c:v>47635</c:v>
                </c:pt>
                <c:pt idx="149">
                  <c:v>47665</c:v>
                </c:pt>
                <c:pt idx="150">
                  <c:v>47696</c:v>
                </c:pt>
                <c:pt idx="151">
                  <c:v>47727</c:v>
                </c:pt>
                <c:pt idx="152">
                  <c:v>47757</c:v>
                </c:pt>
                <c:pt idx="153">
                  <c:v>47788</c:v>
                </c:pt>
                <c:pt idx="154">
                  <c:v>47818</c:v>
                </c:pt>
              </c:numCache>
            </c:numRef>
          </c:cat>
          <c:val>
            <c:numRef>
              <c:f>(관리비_Kenneth!$AO$4:$AO$50,관리비_Kenneth!$AO$57,관리비_Kenneth!$AO$60:$AO$71,관리비_Kenneth!$AO$72:$AO$83,관리비_Kenneth!$AO$84:$AO$95,관리비_Kenneth!$AO$96:$AO$107,관리비_Kenneth!$AO$108:$AO$119,관리비_Kenneth!$AO$120:$AO$131,관리비_Kenneth!$AO$132:$AO$143,관리비_Kenneth!$AO$144:$AO$155,관리비_Kenneth!$AO$156:$AO$166)</c:f>
              <c:numCache>
                <c:formatCode>#,##0_ ;[Red]\-#,##0\ </c:formatCode>
                <c:ptCount val="155"/>
                <c:pt idx="2">
                  <c:v>60550</c:v>
                </c:pt>
                <c:pt idx="3">
                  <c:v>57860</c:v>
                </c:pt>
                <c:pt idx="4">
                  <c:v>44530</c:v>
                </c:pt>
                <c:pt idx="5">
                  <c:v>35900</c:v>
                </c:pt>
                <c:pt idx="6">
                  <c:v>39050</c:v>
                </c:pt>
                <c:pt idx="7">
                  <c:v>58880</c:v>
                </c:pt>
                <c:pt idx="8">
                  <c:v>36430</c:v>
                </c:pt>
                <c:pt idx="9">
                  <c:v>41290</c:v>
                </c:pt>
                <c:pt idx="10">
                  <c:v>89160</c:v>
                </c:pt>
                <c:pt idx="11">
                  <c:v>100390</c:v>
                </c:pt>
                <c:pt idx="12">
                  <c:v>120010</c:v>
                </c:pt>
                <c:pt idx="13">
                  <c:v>107410</c:v>
                </c:pt>
                <c:pt idx="14">
                  <c:v>85090</c:v>
                </c:pt>
                <c:pt idx="15">
                  <c:v>69780</c:v>
                </c:pt>
                <c:pt idx="16">
                  <c:v>47890</c:v>
                </c:pt>
                <c:pt idx="17">
                  <c:v>25940</c:v>
                </c:pt>
                <c:pt idx="18">
                  <c:v>29000</c:v>
                </c:pt>
                <c:pt idx="19">
                  <c:v>32490</c:v>
                </c:pt>
                <c:pt idx="20">
                  <c:v>35470</c:v>
                </c:pt>
                <c:pt idx="21">
                  <c:v>33520</c:v>
                </c:pt>
                <c:pt idx="22">
                  <c:v>52980</c:v>
                </c:pt>
                <c:pt idx="23">
                  <c:v>86850</c:v>
                </c:pt>
                <c:pt idx="24">
                  <c:v>84980</c:v>
                </c:pt>
                <c:pt idx="25">
                  <c:v>99840</c:v>
                </c:pt>
                <c:pt idx="26">
                  <c:v>100250</c:v>
                </c:pt>
                <c:pt idx="27">
                  <c:v>85970</c:v>
                </c:pt>
                <c:pt idx="28">
                  <c:v>64770</c:v>
                </c:pt>
                <c:pt idx="29">
                  <c:v>46730</c:v>
                </c:pt>
                <c:pt idx="30">
                  <c:v>45150</c:v>
                </c:pt>
                <c:pt idx="31">
                  <c:v>43340</c:v>
                </c:pt>
                <c:pt idx="32">
                  <c:v>48650</c:v>
                </c:pt>
                <c:pt idx="33">
                  <c:v>30050</c:v>
                </c:pt>
                <c:pt idx="34">
                  <c:v>64440</c:v>
                </c:pt>
                <c:pt idx="35">
                  <c:v>89800</c:v>
                </c:pt>
                <c:pt idx="36">
                  <c:v>106920</c:v>
                </c:pt>
                <c:pt idx="37">
                  <c:v>82820</c:v>
                </c:pt>
                <c:pt idx="38">
                  <c:v>53690</c:v>
                </c:pt>
                <c:pt idx="39">
                  <c:v>44040</c:v>
                </c:pt>
                <c:pt idx="40">
                  <c:v>47250</c:v>
                </c:pt>
                <c:pt idx="41">
                  <c:v>28350</c:v>
                </c:pt>
                <c:pt idx="42">
                  <c:v>49150</c:v>
                </c:pt>
                <c:pt idx="43">
                  <c:v>27380</c:v>
                </c:pt>
                <c:pt idx="44">
                  <c:v>39270</c:v>
                </c:pt>
                <c:pt idx="45">
                  <c:v>34680</c:v>
                </c:pt>
                <c:pt idx="46">
                  <c:v>47000</c:v>
                </c:pt>
                <c:pt idx="47" formatCode="#,##0_);[Red]\(#,##0\)">
                  <c:v>113150</c:v>
                </c:pt>
                <c:pt idx="48" formatCode="#,##0_);[Red]\(#,##0\)">
                  <c:v>140710</c:v>
                </c:pt>
                <c:pt idx="49" formatCode="#,##0_);[Red]\(#,##0\)">
                  <c:v>123610</c:v>
                </c:pt>
                <c:pt idx="50" formatCode="#,##0_);[Red]\(#,##0\)">
                  <c:v>82660</c:v>
                </c:pt>
                <c:pt idx="51" formatCode="#,##0_);[Red]\(#,##0\)">
                  <c:v>47670</c:v>
                </c:pt>
                <c:pt idx="52" formatCode="#,##0_);[Red]\(#,##0\)">
                  <c:v>37250</c:v>
                </c:pt>
                <c:pt idx="53" formatCode="#,##0_);[Red]\(#,##0\)">
                  <c:v>32610</c:v>
                </c:pt>
                <c:pt idx="54" formatCode="#,##0_);[Red]\(#,##0\)">
                  <c:v>43420</c:v>
                </c:pt>
                <c:pt idx="55" formatCode="#,##0_);[Red]\(#,##0\)">
                  <c:v>50000</c:v>
                </c:pt>
                <c:pt idx="56" formatCode="#,##0_);[Red]\(#,##0\)">
                  <c:v>46620</c:v>
                </c:pt>
                <c:pt idx="57" formatCode="#,##0_);[Red]\(#,##0\)">
                  <c:v>50040</c:v>
                </c:pt>
                <c:pt idx="58" formatCode="#,##0_);[Red]\(#,##0\)">
                  <c:v>85860</c:v>
                </c:pt>
                <c:pt idx="59" formatCode="#,##0_);[Red]\(#,##0\)">
                  <c:v>174060</c:v>
                </c:pt>
                <c:pt idx="60" formatCode="#,##0_);[Red]\(#,##0\)">
                  <c:v>191890</c:v>
                </c:pt>
                <c:pt idx="61" formatCode="#,##0_);[Red]\(#,##0\)">
                  <c:v>129260</c:v>
                </c:pt>
                <c:pt idx="62" formatCode="#,##0_);[Red]\(#,##0\)">
                  <c:v>78960</c:v>
                </c:pt>
                <c:pt idx="63" formatCode="#,##0_);[Red]\(#,##0\)">
                  <c:v>53160</c:v>
                </c:pt>
                <c:pt idx="64" formatCode="#,##0_);[Red]\(#,##0\)">
                  <c:v>43350</c:v>
                </c:pt>
                <c:pt idx="65" formatCode="#,##0_);[Red]\(#,##0\)">
                  <c:v>40050</c:v>
                </c:pt>
                <c:pt idx="66" formatCode="#,##0_);[Red]\(#,##0\)">
                  <c:v>50200</c:v>
                </c:pt>
                <c:pt idx="67" formatCode="#,##0_);[Red]\(#,##0\)">
                  <c:v>63310</c:v>
                </c:pt>
                <c:pt idx="68" formatCode="#,##0_);[Red]\(#,##0\)">
                  <c:v>59940</c:v>
                </c:pt>
                <c:pt idx="69" formatCode="#,##0_);[Red]\(#,##0\)">
                  <c:v>56920.080614686987</c:v>
                </c:pt>
                <c:pt idx="70" formatCode="#,##0_);[Red]\(#,##0\)">
                  <c:v>132190</c:v>
                </c:pt>
                <c:pt idx="71" formatCode="#,##0_);[Red]\(#,##0\)">
                  <c:v>92630</c:v>
                </c:pt>
                <c:pt idx="72" formatCode="#,##0_);[Red]\(#,##0\)">
                  <c:v>151030</c:v>
                </c:pt>
                <c:pt idx="73" formatCode="#,##0_);[Red]\(#,##0\)">
                  <c:v>119860</c:v>
                </c:pt>
                <c:pt idx="74" formatCode="#,##0_);[Red]\(#,##0\)">
                  <c:v>83430</c:v>
                </c:pt>
                <c:pt idx="75" formatCode="#,##0_);[Red]\(#,##0\)">
                  <c:v>50010</c:v>
                </c:pt>
                <c:pt idx="76" formatCode="#,##0_);[Red]\(#,##0\)">
                  <c:v>44120</c:v>
                </c:pt>
                <c:pt idx="77" formatCode="#,##0_);[Red]\(#,##0\)">
                  <c:v>44610</c:v>
                </c:pt>
                <c:pt idx="78" formatCode="#,##0_);[Red]\(#,##0\)">
                  <c:v>49270</c:v>
                </c:pt>
                <c:pt idx="79" formatCode="#,##0_);[Red]\(#,##0\)">
                  <c:v>64580</c:v>
                </c:pt>
                <c:pt idx="80" formatCode="#,##0_);[Red]\(#,##0\)">
                  <c:v>68030</c:v>
                </c:pt>
                <c:pt idx="81" formatCode="#,##0_);[Red]\(#,##0\)">
                  <c:v>63240</c:v>
                </c:pt>
                <c:pt idx="82" formatCode="#,##0_);[Red]\(#,##0\)">
                  <c:v>84010</c:v>
                </c:pt>
                <c:pt idx="83" formatCode="#,##0_);[Red]\(#,##0\)">
                  <c:v>151070</c:v>
                </c:pt>
                <c:pt idx="84" formatCode="#,##0_);[Red]\(#,##0\)">
                  <c:v>198820</c:v>
                </c:pt>
                <c:pt idx="85" formatCode="#,##0_);[Red]\(#,##0\)">
                  <c:v>154250</c:v>
                </c:pt>
                <c:pt idx="86" formatCode="#,##0_);[Red]\(#,##0\)">
                  <c:v>95600</c:v>
                </c:pt>
                <c:pt idx="87" formatCode="#,##0_);[Red]\(#,##0\)">
                  <c:v>53450</c:v>
                </c:pt>
                <c:pt idx="88" formatCode="#,##0_);[Red]\(#,##0\)">
                  <c:v>40820</c:v>
                </c:pt>
                <c:pt idx="89" formatCode="#,##0_);[Red]\(#,##0\)">
                  <c:v>48440</c:v>
                </c:pt>
                <c:pt idx="90" formatCode="#,##0_);[Red]\(#,##0\)">
                  <c:v>59130</c:v>
                </c:pt>
                <c:pt idx="91" formatCode="#,##0_);[Red]\(#,##0\)">
                  <c:v>71900</c:v>
                </c:pt>
                <c:pt idx="92" formatCode="#,##0_);[Red]\(#,##0\)">
                  <c:v>66560</c:v>
                </c:pt>
                <c:pt idx="93" formatCode="#,##0_);[Red]\(#,##0\)">
                  <c:v>54400</c:v>
                </c:pt>
                <c:pt idx="94" formatCode="#,##0_);[Red]\(#,##0\)">
                  <c:v>93790</c:v>
                </c:pt>
                <c:pt idx="95" formatCode="#,##0_);[Red]\(#,##0\)">
                  <c:v>137620</c:v>
                </c:pt>
                <c:pt idx="96" formatCode="#,##0_);[Red]\(#,##0\)">
                  <c:v>175700</c:v>
                </c:pt>
                <c:pt idx="97" formatCode="#,##0_);[Red]\(#,##0\)">
                  <c:v>126700</c:v>
                </c:pt>
                <c:pt idx="98" formatCode="#,##0_);[Red]\(#,##0\)">
                  <c:v>89130</c:v>
                </c:pt>
                <c:pt idx="99" formatCode="#,##0_);[Red]\(#,##0\)">
                  <c:v>53400</c:v>
                </c:pt>
                <c:pt idx="100" formatCode="#,##0_);[Red]\(#,##0\)">
                  <c:v>41100</c:v>
                </c:pt>
                <c:pt idx="101" formatCode="#,##0_);[Red]\(#,##0\)">
                  <c:v>41790</c:v>
                </c:pt>
                <c:pt idx="102" formatCode="#,##0_);[Red]\(#,##0\)">
                  <c:v>43415</c:v>
                </c:pt>
                <c:pt idx="103" formatCode="#,##0_);[Red]\(#,##0\)">
                  <c:v>55975</c:v>
                </c:pt>
                <c:pt idx="104" formatCode="#,##0_);[Red]\(#,##0\)">
                  <c:v>59155</c:v>
                </c:pt>
                <c:pt idx="105" formatCode="#,##0_);[Red]\(#,##0\)">
                  <c:v>68640</c:v>
                </c:pt>
                <c:pt idx="106" formatCode="#,##0_);[Red]\(#,##0\)">
                  <c:v>146845</c:v>
                </c:pt>
                <c:pt idx="107" formatCode="#,##0_);[Red]\(#,##0\)">
                  <c:v>175209.77848000001</c:v>
                </c:pt>
                <c:pt idx="108" formatCode="#,##0_);[Red]\(#,##0\)">
                  <c:v>178211.48349734512</c:v>
                </c:pt>
                <c:pt idx="109" formatCode="#,##0_);[Red]\(#,##0\)">
                  <c:v>157344.01459000001</c:v>
                </c:pt>
                <c:pt idx="110" formatCode="#,##0_);[Red]\(#,##0\)">
                  <c:v>110681.59788000002</c:v>
                </c:pt>
                <c:pt idx="111" formatCode="#,##0_);[Red]\(#,##0\)">
                  <c:v>60165.841359999999</c:v>
                </c:pt>
                <c:pt idx="112" formatCode="#,##0_);[Red]\(#,##0\)">
                  <c:v>49059.184519999995</c:v>
                </c:pt>
                <c:pt idx="113" formatCode="#,##0_);[Red]\(#,##0\)">
                  <c:v>44154.937689999992</c:v>
                </c:pt>
                <c:pt idx="114" formatCode="#,##0_);[Red]\(#,##0\)">
                  <c:v>52459.163750000007</c:v>
                </c:pt>
                <c:pt idx="115" formatCode="#,##0_);[Red]\(#,##0\)">
                  <c:v>69242.767040000006</c:v>
                </c:pt>
                <c:pt idx="116" formatCode="#,##0_);[Red]\(#,##0\)">
                  <c:v>73940.941610000009</c:v>
                </c:pt>
                <c:pt idx="117" formatCode="#,##0_);[Red]\(#,##0\)">
                  <c:v>75692.479439999996</c:v>
                </c:pt>
                <c:pt idx="118" formatCode="#,##0_);[Red]\(#,##0\)">
                  <c:v>101517.046365</c:v>
                </c:pt>
                <c:pt idx="119" formatCode="#,##0_);[Red]\(#,##0\)">
                  <c:v>176935.02626479999</c:v>
                </c:pt>
                <c:pt idx="120" formatCode="#,##0_);[Red]\(#,##0\)">
                  <c:v>179953.04833231861</c:v>
                </c:pt>
                <c:pt idx="121" formatCode="#,##0_);[Red]\(#,##0\)">
                  <c:v>158881.30473590002</c:v>
                </c:pt>
                <c:pt idx="122" formatCode="#,##0_);[Red]\(#,##0\)">
                  <c:v>111760.66385880001</c:v>
                </c:pt>
                <c:pt idx="123" formatCode="#,##0_);[Red]\(#,##0\)">
                  <c:v>60749.549773600003</c:v>
                </c:pt>
                <c:pt idx="124" formatCode="#,##0_);[Red]\(#,##0\)">
                  <c:v>49533.026365199999</c:v>
                </c:pt>
                <c:pt idx="125" formatCode="#,##0_);[Red]\(#,##0\)">
                  <c:v>44581.137066899988</c:v>
                </c:pt>
                <c:pt idx="126" formatCode="#,##0_);[Red]\(#,##0\)">
                  <c:v>52968.40538750001</c:v>
                </c:pt>
                <c:pt idx="127" formatCode="#,##0_);[Red]\(#,##0\)">
                  <c:v>69919.844710400008</c:v>
                </c:pt>
                <c:pt idx="128" formatCode="#,##0_);[Red]\(#,##0\)">
                  <c:v>74664.801026100002</c:v>
                </c:pt>
                <c:pt idx="129" formatCode="#,##0_);[Red]\(#,##0\)">
                  <c:v>76431.254234399996</c:v>
                </c:pt>
                <c:pt idx="130" formatCode="#,##0_);[Red]\(#,##0\)">
                  <c:v>102506.86682865</c:v>
                </c:pt>
                <c:pt idx="131" formatCode="#,##0_);[Red]\(#,##0\)">
                  <c:v>178663.82652744799</c:v>
                </c:pt>
                <c:pt idx="132" formatCode="#,##0_);[Red]\(#,##0\)">
                  <c:v>181698.32881564178</c:v>
                </c:pt>
                <c:pt idx="133" formatCode="#,##0_);[Red]\(#,##0\)">
                  <c:v>160422.467783259</c:v>
                </c:pt>
                <c:pt idx="134" formatCode="#,##0_);[Red]\(#,##0\)">
                  <c:v>112843.22049738801</c:v>
                </c:pt>
                <c:pt idx="135" formatCode="#,##0_);[Red]\(#,##0\)">
                  <c:v>61336.695271336001</c:v>
                </c:pt>
                <c:pt idx="136" formatCode="#,##0_);[Red]\(#,##0\)">
                  <c:v>50009.806628851991</c:v>
                </c:pt>
                <c:pt idx="137" formatCode="#,##0_);[Red]\(#,##0\)">
                  <c:v>45010.498437568982</c:v>
                </c:pt>
                <c:pt idx="138" formatCode="#,##0_);[Red]\(#,##0\)">
                  <c:v>53481.639441375009</c:v>
                </c:pt>
                <c:pt idx="139" formatCode="#,##0_);[Red]\(#,##0\)">
                  <c:v>70602.593157504001</c:v>
                </c:pt>
                <c:pt idx="140" formatCode="#,##0_);[Red]\(#,##0\)">
                  <c:v>75394.699036361009</c:v>
                </c:pt>
                <c:pt idx="141" formatCode="#,##0_);[Red]\(#,##0\)">
                  <c:v>77174.916776744009</c:v>
                </c:pt>
                <c:pt idx="142" formatCode="#,##0_);[Red]\(#,##0\)">
                  <c:v>103500.4854969365</c:v>
                </c:pt>
                <c:pt idx="143" formatCode="#,##0_);[Red]\(#,##0\)">
                  <c:v>180396.21479272249</c:v>
                </c:pt>
                <c:pt idx="144" formatCode="#,##0_);[Red]\(#,##0\)">
                  <c:v>183447.36210379819</c:v>
                </c:pt>
                <c:pt idx="145" formatCode="#,##0_);[Red]\(#,##0\)">
                  <c:v>161967.54246109159</c:v>
                </c:pt>
                <c:pt idx="146" formatCode="#,##0_);[Red]\(#,##0\)">
                  <c:v>113929.30270236189</c:v>
                </c:pt>
                <c:pt idx="147" formatCode="#,##0_);[Red]\(#,##0\)">
                  <c:v>61927.312224049361</c:v>
                </c:pt>
                <c:pt idx="148" formatCode="#,##0_);[Red]\(#,##0\)">
                  <c:v>50489.554695140512</c:v>
                </c:pt>
                <c:pt idx="149" formatCode="#,##0_);[Red]\(#,##0\)">
                  <c:v>45443.053421944678</c:v>
                </c:pt>
                <c:pt idx="150" formatCode="#,##0_);[Red]\(#,##0\)">
                  <c:v>53998.905835788755</c:v>
                </c:pt>
                <c:pt idx="151" formatCode="#,##0_);[Red]\(#,##0\)">
                  <c:v>71291.069089079043</c:v>
                </c:pt>
                <c:pt idx="152" formatCode="#,##0_);[Red]\(#,##0\)">
                  <c:v>76130.696026724618</c:v>
                </c:pt>
                <c:pt idx="153" formatCode="#,##0_);[Red]\(#,##0\)">
                  <c:v>77923.51594451144</c:v>
                </c:pt>
                <c:pt idx="154" formatCode="#,##0_);[Red]\(#,##0\)">
                  <c:v>104497.94035190587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59A-4C46-AB36-C836659024D2}"/>
            </c:ext>
          </c:extLst>
        </c:ser>
        <c:ser>
          <c:idx val="2"/>
          <c:order val="2"/>
          <c:tx>
            <c:v>합계</c:v>
          </c:tx>
          <c:spPr>
            <a:ln w="15875">
              <a:solidFill>
                <a:schemeClr val="accent4"/>
              </a:solidFill>
            </a:ln>
          </c:spPr>
          <c:marker>
            <c:symbol val="none"/>
          </c:marker>
          <c:trendline>
            <c:spPr>
              <a:ln w="22225">
                <a:solidFill>
                  <a:schemeClr val="accent4">
                    <a:lumMod val="60000"/>
                    <a:lumOff val="40000"/>
                  </a:schemeClr>
                </a:solidFill>
                <a:prstDash val="sysDash"/>
              </a:ln>
            </c:spPr>
            <c:trendlineType val="power"/>
            <c:dispRSqr val="0"/>
            <c:dispEq val="0"/>
          </c:trendline>
          <c:cat>
            <c:numRef>
              <c:f>(관리비_Kenneth!$A$4:$A$50,관리비_Kenneth!$A$57,관리비_Kenneth!$A$60:$A$71,관리비_Kenneth!$A$72:$A$83,관리비_Kenneth!$A$84:$A$95,관리비_Kenneth!$A$96:$A$107,관리비_Kenneth!$A$108:$A$119,관리비_Kenneth!$A$120:$A$131,관리비_Kenneth!$A$132:$A$143,관리비_Kenneth!$A$144:$A$155,관리비_Kenneth!$A$156:$A$169)</c:f>
              <c:numCache>
                <c:formatCode>yyyy/mm</c:formatCode>
                <c:ptCount val="158"/>
                <c:pt idx="0">
                  <c:v>43132</c:v>
                </c:pt>
                <c:pt idx="1">
                  <c:v>43160</c:v>
                </c:pt>
                <c:pt idx="2">
                  <c:v>43191</c:v>
                </c:pt>
                <c:pt idx="3">
                  <c:v>43221</c:v>
                </c:pt>
                <c:pt idx="4">
                  <c:v>43252</c:v>
                </c:pt>
                <c:pt idx="5">
                  <c:v>43282</c:v>
                </c:pt>
                <c:pt idx="6">
                  <c:v>43313</c:v>
                </c:pt>
                <c:pt idx="7">
                  <c:v>43344</c:v>
                </c:pt>
                <c:pt idx="8">
                  <c:v>43374</c:v>
                </c:pt>
                <c:pt idx="9">
                  <c:v>43405</c:v>
                </c:pt>
                <c:pt idx="10">
                  <c:v>43435</c:v>
                </c:pt>
                <c:pt idx="11">
                  <c:v>43466</c:v>
                </c:pt>
                <c:pt idx="12">
                  <c:v>43497</c:v>
                </c:pt>
                <c:pt idx="13">
                  <c:v>43525</c:v>
                </c:pt>
                <c:pt idx="14">
                  <c:v>43556</c:v>
                </c:pt>
                <c:pt idx="15">
                  <c:v>43586</c:v>
                </c:pt>
                <c:pt idx="16">
                  <c:v>43617</c:v>
                </c:pt>
                <c:pt idx="17">
                  <c:v>43647</c:v>
                </c:pt>
                <c:pt idx="18">
                  <c:v>43678</c:v>
                </c:pt>
                <c:pt idx="19">
                  <c:v>43709</c:v>
                </c:pt>
                <c:pt idx="20">
                  <c:v>43739</c:v>
                </c:pt>
                <c:pt idx="21">
                  <c:v>43770</c:v>
                </c:pt>
                <c:pt idx="22">
                  <c:v>43800</c:v>
                </c:pt>
                <c:pt idx="23">
                  <c:v>43831</c:v>
                </c:pt>
                <c:pt idx="24">
                  <c:v>43862</c:v>
                </c:pt>
                <c:pt idx="25">
                  <c:v>43891</c:v>
                </c:pt>
                <c:pt idx="26">
                  <c:v>43922</c:v>
                </c:pt>
                <c:pt idx="27">
                  <c:v>43952</c:v>
                </c:pt>
                <c:pt idx="28">
                  <c:v>43983</c:v>
                </c:pt>
                <c:pt idx="29">
                  <c:v>44013</c:v>
                </c:pt>
                <c:pt idx="30">
                  <c:v>44044</c:v>
                </c:pt>
                <c:pt idx="31">
                  <c:v>44075</c:v>
                </c:pt>
                <c:pt idx="32">
                  <c:v>44105</c:v>
                </c:pt>
                <c:pt idx="33">
                  <c:v>44136</c:v>
                </c:pt>
                <c:pt idx="34">
                  <c:v>44166</c:v>
                </c:pt>
                <c:pt idx="35">
                  <c:v>44197</c:v>
                </c:pt>
                <c:pt idx="36">
                  <c:v>44228</c:v>
                </c:pt>
                <c:pt idx="37">
                  <c:v>44256</c:v>
                </c:pt>
                <c:pt idx="38">
                  <c:v>44287</c:v>
                </c:pt>
                <c:pt idx="39">
                  <c:v>44317</c:v>
                </c:pt>
                <c:pt idx="40">
                  <c:v>44348</c:v>
                </c:pt>
                <c:pt idx="41">
                  <c:v>44378</c:v>
                </c:pt>
                <c:pt idx="42">
                  <c:v>44409</c:v>
                </c:pt>
                <c:pt idx="43">
                  <c:v>44440</c:v>
                </c:pt>
                <c:pt idx="44">
                  <c:v>44470</c:v>
                </c:pt>
                <c:pt idx="45">
                  <c:v>44501</c:v>
                </c:pt>
                <c:pt idx="46">
                  <c:v>44531</c:v>
                </c:pt>
                <c:pt idx="47">
                  <c:v>44562</c:v>
                </c:pt>
                <c:pt idx="48">
                  <c:v>44593</c:v>
                </c:pt>
                <c:pt idx="49">
                  <c:v>44621</c:v>
                </c:pt>
                <c:pt idx="50">
                  <c:v>44652</c:v>
                </c:pt>
                <c:pt idx="51">
                  <c:v>44682</c:v>
                </c:pt>
                <c:pt idx="52">
                  <c:v>44713</c:v>
                </c:pt>
                <c:pt idx="53">
                  <c:v>44743</c:v>
                </c:pt>
                <c:pt idx="54">
                  <c:v>44774</c:v>
                </c:pt>
                <c:pt idx="55">
                  <c:v>44805</c:v>
                </c:pt>
                <c:pt idx="56">
                  <c:v>44835</c:v>
                </c:pt>
                <c:pt idx="57">
                  <c:v>44866</c:v>
                </c:pt>
                <c:pt idx="58">
                  <c:v>44896</c:v>
                </c:pt>
                <c:pt idx="59">
                  <c:v>44927</c:v>
                </c:pt>
                <c:pt idx="60">
                  <c:v>44958</c:v>
                </c:pt>
                <c:pt idx="61">
                  <c:v>44986</c:v>
                </c:pt>
                <c:pt idx="62">
                  <c:v>45017</c:v>
                </c:pt>
                <c:pt idx="63">
                  <c:v>45047</c:v>
                </c:pt>
                <c:pt idx="64">
                  <c:v>45078</c:v>
                </c:pt>
                <c:pt idx="65">
                  <c:v>45108</c:v>
                </c:pt>
                <c:pt idx="66">
                  <c:v>45139</c:v>
                </c:pt>
                <c:pt idx="67">
                  <c:v>45170</c:v>
                </c:pt>
                <c:pt idx="68">
                  <c:v>45200</c:v>
                </c:pt>
                <c:pt idx="69">
                  <c:v>45231</c:v>
                </c:pt>
                <c:pt idx="70">
                  <c:v>45261</c:v>
                </c:pt>
                <c:pt idx="71">
                  <c:v>45292</c:v>
                </c:pt>
                <c:pt idx="72">
                  <c:v>45323</c:v>
                </c:pt>
                <c:pt idx="73">
                  <c:v>45352</c:v>
                </c:pt>
                <c:pt idx="74">
                  <c:v>45383</c:v>
                </c:pt>
                <c:pt idx="75">
                  <c:v>45413</c:v>
                </c:pt>
                <c:pt idx="76">
                  <c:v>45444</c:v>
                </c:pt>
                <c:pt idx="77">
                  <c:v>45474</c:v>
                </c:pt>
                <c:pt idx="78">
                  <c:v>45505</c:v>
                </c:pt>
                <c:pt idx="79">
                  <c:v>45536</c:v>
                </c:pt>
                <c:pt idx="80">
                  <c:v>45566</c:v>
                </c:pt>
                <c:pt idx="81">
                  <c:v>45597</c:v>
                </c:pt>
                <c:pt idx="82">
                  <c:v>45627</c:v>
                </c:pt>
                <c:pt idx="83">
                  <c:v>45658</c:v>
                </c:pt>
                <c:pt idx="84">
                  <c:v>45689</c:v>
                </c:pt>
                <c:pt idx="85">
                  <c:v>45717</c:v>
                </c:pt>
                <c:pt idx="86">
                  <c:v>45748</c:v>
                </c:pt>
                <c:pt idx="87">
                  <c:v>45778</c:v>
                </c:pt>
                <c:pt idx="88">
                  <c:v>45809</c:v>
                </c:pt>
                <c:pt idx="89">
                  <c:v>45839</c:v>
                </c:pt>
                <c:pt idx="90">
                  <c:v>45870</c:v>
                </c:pt>
                <c:pt idx="91">
                  <c:v>45901</c:v>
                </c:pt>
                <c:pt idx="92">
                  <c:v>45931</c:v>
                </c:pt>
                <c:pt idx="93">
                  <c:v>45962</c:v>
                </c:pt>
                <c:pt idx="94">
                  <c:v>45992</c:v>
                </c:pt>
                <c:pt idx="95">
                  <c:v>46023</c:v>
                </c:pt>
                <c:pt idx="96">
                  <c:v>46054</c:v>
                </c:pt>
                <c:pt idx="97">
                  <c:v>46082</c:v>
                </c:pt>
                <c:pt idx="98">
                  <c:v>46113</c:v>
                </c:pt>
                <c:pt idx="99">
                  <c:v>46143</c:v>
                </c:pt>
                <c:pt idx="100">
                  <c:v>46174</c:v>
                </c:pt>
                <c:pt idx="101">
                  <c:v>46204</c:v>
                </c:pt>
                <c:pt idx="102">
                  <c:v>46235</c:v>
                </c:pt>
                <c:pt idx="103">
                  <c:v>46266</c:v>
                </c:pt>
                <c:pt idx="104">
                  <c:v>46296</c:v>
                </c:pt>
                <c:pt idx="105">
                  <c:v>46327</c:v>
                </c:pt>
                <c:pt idx="106">
                  <c:v>46357</c:v>
                </c:pt>
                <c:pt idx="107">
                  <c:v>46388</c:v>
                </c:pt>
                <c:pt idx="108">
                  <c:v>46419</c:v>
                </c:pt>
                <c:pt idx="109">
                  <c:v>46447</c:v>
                </c:pt>
                <c:pt idx="110">
                  <c:v>46478</c:v>
                </c:pt>
                <c:pt idx="111">
                  <c:v>46508</c:v>
                </c:pt>
                <c:pt idx="112">
                  <c:v>46539</c:v>
                </c:pt>
                <c:pt idx="113">
                  <c:v>46569</c:v>
                </c:pt>
                <c:pt idx="114">
                  <c:v>46600</c:v>
                </c:pt>
                <c:pt idx="115">
                  <c:v>46631</c:v>
                </c:pt>
                <c:pt idx="116">
                  <c:v>46661</c:v>
                </c:pt>
                <c:pt idx="117">
                  <c:v>46692</c:v>
                </c:pt>
                <c:pt idx="118">
                  <c:v>46722</c:v>
                </c:pt>
                <c:pt idx="119">
                  <c:v>46753</c:v>
                </c:pt>
                <c:pt idx="120">
                  <c:v>46784</c:v>
                </c:pt>
                <c:pt idx="121">
                  <c:v>46813</c:v>
                </c:pt>
                <c:pt idx="122">
                  <c:v>46844</c:v>
                </c:pt>
                <c:pt idx="123">
                  <c:v>46874</c:v>
                </c:pt>
                <c:pt idx="124">
                  <c:v>46905</c:v>
                </c:pt>
                <c:pt idx="125">
                  <c:v>46935</c:v>
                </c:pt>
                <c:pt idx="126">
                  <c:v>46966</c:v>
                </c:pt>
                <c:pt idx="127">
                  <c:v>46997</c:v>
                </c:pt>
                <c:pt idx="128">
                  <c:v>47027</c:v>
                </c:pt>
                <c:pt idx="129">
                  <c:v>47058</c:v>
                </c:pt>
                <c:pt idx="130">
                  <c:v>47088</c:v>
                </c:pt>
                <c:pt idx="131">
                  <c:v>47119</c:v>
                </c:pt>
                <c:pt idx="132">
                  <c:v>47150</c:v>
                </c:pt>
                <c:pt idx="133">
                  <c:v>47178</c:v>
                </c:pt>
                <c:pt idx="134">
                  <c:v>47209</c:v>
                </c:pt>
                <c:pt idx="135">
                  <c:v>47239</c:v>
                </c:pt>
                <c:pt idx="136">
                  <c:v>47270</c:v>
                </c:pt>
                <c:pt idx="137">
                  <c:v>47300</c:v>
                </c:pt>
                <c:pt idx="138">
                  <c:v>47331</c:v>
                </c:pt>
                <c:pt idx="139">
                  <c:v>47362</c:v>
                </c:pt>
                <c:pt idx="140">
                  <c:v>47392</c:v>
                </c:pt>
                <c:pt idx="141">
                  <c:v>47423</c:v>
                </c:pt>
                <c:pt idx="142">
                  <c:v>47453</c:v>
                </c:pt>
                <c:pt idx="143">
                  <c:v>47484</c:v>
                </c:pt>
                <c:pt idx="144">
                  <c:v>47515</c:v>
                </c:pt>
                <c:pt idx="145">
                  <c:v>47543</c:v>
                </c:pt>
                <c:pt idx="146">
                  <c:v>47574</c:v>
                </c:pt>
                <c:pt idx="147">
                  <c:v>47604</c:v>
                </c:pt>
                <c:pt idx="148">
                  <c:v>47635</c:v>
                </c:pt>
                <c:pt idx="149">
                  <c:v>47665</c:v>
                </c:pt>
                <c:pt idx="150">
                  <c:v>47696</c:v>
                </c:pt>
                <c:pt idx="151">
                  <c:v>47727</c:v>
                </c:pt>
                <c:pt idx="152">
                  <c:v>47757</c:v>
                </c:pt>
                <c:pt idx="153">
                  <c:v>47788</c:v>
                </c:pt>
                <c:pt idx="154">
                  <c:v>47818</c:v>
                </c:pt>
              </c:numCache>
            </c:numRef>
          </c:cat>
          <c:val>
            <c:numRef>
              <c:f>(관리비_Kenneth!$C$4:$C$50,관리비_Kenneth!$C$57,관리비_Kenneth!$C$60:$C$71,관리비_Kenneth!$C$72:$C$83,관리비_Kenneth!$C$84:$C$95,관리비_Kenneth!$C$96:$C$107,관리비_Kenneth!$C$108:$C$119,관리비_Kenneth!$C$120:$C$131,관리비_Kenneth!$C$132:$C$143,관리비_Kenneth!$C$144:$C$155,관리비_Kenneth!$C$156:$C$166)</c:f>
              <c:numCache>
                <c:formatCode>#,##0_ ;[Red]\-#,##0\ </c:formatCode>
                <c:ptCount val="155"/>
                <c:pt idx="2">
                  <c:v>160970</c:v>
                </c:pt>
                <c:pt idx="3">
                  <c:v>156020</c:v>
                </c:pt>
                <c:pt idx="4">
                  <c:v>142750</c:v>
                </c:pt>
                <c:pt idx="5">
                  <c:v>133740</c:v>
                </c:pt>
                <c:pt idx="6">
                  <c:v>136380</c:v>
                </c:pt>
                <c:pt idx="7">
                  <c:v>143210</c:v>
                </c:pt>
                <c:pt idx="8">
                  <c:v>130260</c:v>
                </c:pt>
                <c:pt idx="9">
                  <c:v>139050</c:v>
                </c:pt>
                <c:pt idx="10">
                  <c:v>189170</c:v>
                </c:pt>
                <c:pt idx="11">
                  <c:v>195900</c:v>
                </c:pt>
                <c:pt idx="12">
                  <c:v>225630</c:v>
                </c:pt>
                <c:pt idx="13">
                  <c:v>216490</c:v>
                </c:pt>
                <c:pt idx="14">
                  <c:v>189890</c:v>
                </c:pt>
                <c:pt idx="15">
                  <c:v>171620</c:v>
                </c:pt>
                <c:pt idx="16">
                  <c:v>152450</c:v>
                </c:pt>
                <c:pt idx="17">
                  <c:v>126770</c:v>
                </c:pt>
                <c:pt idx="18">
                  <c:v>131270</c:v>
                </c:pt>
                <c:pt idx="19">
                  <c:v>134150</c:v>
                </c:pt>
                <c:pt idx="20">
                  <c:v>138530</c:v>
                </c:pt>
                <c:pt idx="21">
                  <c:v>138610</c:v>
                </c:pt>
                <c:pt idx="22">
                  <c:v>159550</c:v>
                </c:pt>
                <c:pt idx="23">
                  <c:v>194700</c:v>
                </c:pt>
                <c:pt idx="24">
                  <c:v>188600</c:v>
                </c:pt>
                <c:pt idx="25">
                  <c:v>208020</c:v>
                </c:pt>
                <c:pt idx="26">
                  <c:v>207150</c:v>
                </c:pt>
                <c:pt idx="27">
                  <c:v>188980</c:v>
                </c:pt>
                <c:pt idx="28">
                  <c:v>170290</c:v>
                </c:pt>
                <c:pt idx="29">
                  <c:v>150100</c:v>
                </c:pt>
                <c:pt idx="30">
                  <c:v>150910</c:v>
                </c:pt>
                <c:pt idx="31">
                  <c:v>148570</c:v>
                </c:pt>
                <c:pt idx="32">
                  <c:v>155740</c:v>
                </c:pt>
                <c:pt idx="33">
                  <c:v>136780</c:v>
                </c:pt>
                <c:pt idx="34">
                  <c:v>171520</c:v>
                </c:pt>
                <c:pt idx="35">
                  <c:v>198980</c:v>
                </c:pt>
                <c:pt idx="36">
                  <c:v>229500</c:v>
                </c:pt>
                <c:pt idx="37">
                  <c:v>202280</c:v>
                </c:pt>
                <c:pt idx="38">
                  <c:v>172940</c:v>
                </c:pt>
                <c:pt idx="39">
                  <c:v>165010</c:v>
                </c:pt>
                <c:pt idx="40">
                  <c:v>165680</c:v>
                </c:pt>
                <c:pt idx="41">
                  <c:v>146080</c:v>
                </c:pt>
                <c:pt idx="42">
                  <c:v>169080</c:v>
                </c:pt>
                <c:pt idx="43">
                  <c:v>142750</c:v>
                </c:pt>
                <c:pt idx="44">
                  <c:v>157460</c:v>
                </c:pt>
                <c:pt idx="45">
                  <c:v>152520</c:v>
                </c:pt>
                <c:pt idx="46">
                  <c:v>165100</c:v>
                </c:pt>
                <c:pt idx="47" formatCode="#,##0_);[Red]\(#,##0\)">
                  <c:v>215960</c:v>
                </c:pt>
                <c:pt idx="48" formatCode="#,##0_);[Red]\(#,##0\)">
                  <c:v>244880</c:v>
                </c:pt>
                <c:pt idx="49" formatCode="#,##0_);[Red]\(#,##0\)">
                  <c:v>232600</c:v>
                </c:pt>
                <c:pt idx="50" formatCode="#,##0_);[Red]\(#,##0\)">
                  <c:v>189760</c:v>
                </c:pt>
                <c:pt idx="51" formatCode="#,##0_);[Red]\(#,##0\)">
                  <c:v>153270</c:v>
                </c:pt>
                <c:pt idx="52" formatCode="#,##0_);[Red]\(#,##0\)">
                  <c:v>137000</c:v>
                </c:pt>
                <c:pt idx="53" formatCode="#,##0_);[Red]\(#,##0\)">
                  <c:v>134210</c:v>
                </c:pt>
                <c:pt idx="54" formatCode="#,##0_);[Red]\(#,##0\)">
                  <c:v>149570</c:v>
                </c:pt>
                <c:pt idx="55" formatCode="#,##0_);[Red]\(#,##0\)">
                  <c:v>155680</c:v>
                </c:pt>
                <c:pt idx="56" formatCode="#,##0_);[Red]\(#,##0\)">
                  <c:v>151930</c:v>
                </c:pt>
                <c:pt idx="57" formatCode="#,##0_);[Red]\(#,##0\)">
                  <c:v>148410</c:v>
                </c:pt>
                <c:pt idx="58" formatCode="#,##0_);[Red]\(#,##0\)">
                  <c:v>189100</c:v>
                </c:pt>
                <c:pt idx="59" formatCode="#,##0_);[Red]\(#,##0\)">
                  <c:v>279230</c:v>
                </c:pt>
                <c:pt idx="60" formatCode="#,##0_);[Red]\(#,##0\)">
                  <c:v>304540</c:v>
                </c:pt>
                <c:pt idx="61" formatCode="#,##0_);[Red]\(#,##0\)">
                  <c:v>244930</c:v>
                </c:pt>
                <c:pt idx="62" formatCode="#,##0_);[Red]\(#,##0\)">
                  <c:v>189450</c:v>
                </c:pt>
                <c:pt idx="63" formatCode="#,##0_);[Red]\(#,##0\)">
                  <c:v>161150</c:v>
                </c:pt>
                <c:pt idx="64" formatCode="#,##0_);[Red]\(#,##0\)">
                  <c:v>149580</c:v>
                </c:pt>
                <c:pt idx="65" formatCode="#,##0_);[Red]\(#,##0\)">
                  <c:v>149810</c:v>
                </c:pt>
                <c:pt idx="66" formatCode="#,##0_);[Red]\(#,##0\)">
                  <c:v>159490</c:v>
                </c:pt>
                <c:pt idx="67" formatCode="#,##0_);[Red]\(#,##0\)">
                  <c:v>178150</c:v>
                </c:pt>
                <c:pt idx="68" formatCode="#,##0_);[Red]\(#,##0\)">
                  <c:v>172050</c:v>
                </c:pt>
                <c:pt idx="69" formatCode="#,##0_);[Red]\(#,##0\)">
                  <c:v>164270</c:v>
                </c:pt>
                <c:pt idx="70" formatCode="#,##0_);[Red]\(#,##0\)">
                  <c:v>241350</c:v>
                </c:pt>
                <c:pt idx="71" formatCode="#,##0_);[Red]\(#,##0\)">
                  <c:v>204800</c:v>
                </c:pt>
                <c:pt idx="72" formatCode="#,##0_);[Red]\(#,##0\)">
                  <c:v>269060</c:v>
                </c:pt>
                <c:pt idx="73" formatCode="#,##0_);[Red]\(#,##0\)">
                  <c:v>238910</c:v>
                </c:pt>
                <c:pt idx="74" formatCode="#,##0_);[Red]\(#,##0\)">
                  <c:v>200520</c:v>
                </c:pt>
                <c:pt idx="75" formatCode="#,##0_);[Red]\(#,##0\)">
                  <c:v>178860</c:v>
                </c:pt>
                <c:pt idx="76" formatCode="#,##0_);[Red]\(#,##0\)">
                  <c:v>158700</c:v>
                </c:pt>
                <c:pt idx="77" formatCode="#,##0_);[Red]\(#,##0\)">
                  <c:v>166050</c:v>
                </c:pt>
                <c:pt idx="78" formatCode="#,##0_);[Red]\(#,##0\)">
                  <c:v>174550</c:v>
                </c:pt>
                <c:pt idx="79" formatCode="#,##0_);[Red]\(#,##0\)">
                  <c:v>190910</c:v>
                </c:pt>
                <c:pt idx="80" formatCode="#,##0_);[Red]\(#,##0\)">
                  <c:v>195670</c:v>
                </c:pt>
                <c:pt idx="81" formatCode="#,##0_);[Red]\(#,##0\)">
                  <c:v>193350</c:v>
                </c:pt>
                <c:pt idx="82" formatCode="#,##0_);[Red]\(#,##0\)">
                  <c:v>212290</c:v>
                </c:pt>
                <c:pt idx="83" formatCode="#,##0_);[Red]\(#,##0\)">
                  <c:v>277090</c:v>
                </c:pt>
                <c:pt idx="84" formatCode="#,##0_);[Red]\(#,##0\)">
                  <c:v>329190</c:v>
                </c:pt>
                <c:pt idx="85" formatCode="#,##0_);[Red]\(#,##0\)">
                  <c:v>289250</c:v>
                </c:pt>
                <c:pt idx="86" formatCode="#,##0_);[Red]\(#,##0\)">
                  <c:v>225630</c:v>
                </c:pt>
                <c:pt idx="87" formatCode="#,##0_);[Red]\(#,##0\)">
                  <c:v>184100</c:v>
                </c:pt>
                <c:pt idx="88" formatCode="#,##0_);[Red]\(#,##0\)">
                  <c:v>169520</c:v>
                </c:pt>
                <c:pt idx="89" formatCode="#,##0_);[Red]\(#,##0\)">
                  <c:v>177120</c:v>
                </c:pt>
                <c:pt idx="90" formatCode="#,##0_);[Red]\(#,##0\)">
                  <c:v>191100</c:v>
                </c:pt>
                <c:pt idx="91" formatCode="#,##0_);[Red]\(#,##0\)">
                  <c:v>204510</c:v>
                </c:pt>
                <c:pt idx="92" formatCode="#,##0_);[Red]\(#,##0\)">
                  <c:v>198150</c:v>
                </c:pt>
                <c:pt idx="93" formatCode="#,##0_);[Red]\(#,##0\)">
                  <c:v>185550</c:v>
                </c:pt>
                <c:pt idx="94" formatCode="#,##0_);[Red]\(#,##0\)">
                  <c:v>222090</c:v>
                </c:pt>
                <c:pt idx="95" formatCode="#,##0_);[Red]\(#,##0\)">
                  <c:v>266610</c:v>
                </c:pt>
                <c:pt idx="96" formatCode="#,##0_);[Red]\(#,##0\)">
                  <c:v>313170</c:v>
                </c:pt>
                <c:pt idx="97" formatCode="#,##0_);[Red]\(#,##0\)">
                  <c:v>266210</c:v>
                </c:pt>
                <c:pt idx="98" formatCode="#,##0_);[Red]\(#,##0\)">
                  <c:v>224700</c:v>
                </c:pt>
                <c:pt idx="99" formatCode="#,##0_);[Red]\(#,##0\)">
                  <c:v>190080</c:v>
                </c:pt>
                <c:pt idx="100" formatCode="#,##0_);[Red]\(#,##0\)">
                  <c:v>171860</c:v>
                </c:pt>
                <c:pt idx="101" formatCode="#,##0_);[Red]\(#,##0\)">
                  <c:v>179340</c:v>
                </c:pt>
                <c:pt idx="102" formatCode="#,##0_);[Red]\(#,##0\)">
                  <c:v>186290</c:v>
                </c:pt>
                <c:pt idx="103" formatCode="#,##0_);[Red]\(#,##0\)">
                  <c:v>200480</c:v>
                </c:pt>
                <c:pt idx="104" formatCode="#,##0_);[Red]\(#,##0\)">
                  <c:v>205020</c:v>
                </c:pt>
                <c:pt idx="105" formatCode="#,##0_);[Red]\(#,##0\)">
                  <c:v>212895</c:v>
                </c:pt>
                <c:pt idx="106" formatCode="#,##0_);[Red]\(#,##0\)">
                  <c:v>285010</c:v>
                </c:pt>
                <c:pt idx="107" formatCode="#,##0_);[Red]\(#,##0\)">
                  <c:v>316640</c:v>
                </c:pt>
                <c:pt idx="108" formatCode="#,##0_);[Red]\(#,##0\)">
                  <c:v>323090</c:v>
                </c:pt>
                <c:pt idx="109" formatCode="#,##0_);[Red]\(#,##0\)">
                  <c:v>302540</c:v>
                </c:pt>
                <c:pt idx="110" formatCode="#,##0_);[Red]\(#,##0\)">
                  <c:v>252690</c:v>
                </c:pt>
                <c:pt idx="111" formatCode="#,##0_);[Red]\(#,##0\)">
                  <c:v>206880</c:v>
                </c:pt>
                <c:pt idx="112" formatCode="#,##0_);[Red]\(#,##0\)">
                  <c:v>189380</c:v>
                </c:pt>
                <c:pt idx="113" formatCode="#,##0_);[Red]\(#,##0\)">
                  <c:v>186570</c:v>
                </c:pt>
                <c:pt idx="114" formatCode="#,##0_);[Red]\(#,##0\)">
                  <c:v>196510</c:v>
                </c:pt>
                <c:pt idx="115" formatCode="#,##0_);[Red]\(#,##0\)">
                  <c:v>214940</c:v>
                </c:pt>
                <c:pt idx="116" formatCode="#,##0_);[Red]\(#,##0\)">
                  <c:v>221010</c:v>
                </c:pt>
                <c:pt idx="117" formatCode="#,##0_);[Red]\(#,##0\)">
                  <c:v>221130</c:v>
                </c:pt>
                <c:pt idx="118" formatCode="#,##0_);[Red]\(#,##0\)">
                  <c:v>240810</c:v>
                </c:pt>
                <c:pt idx="119" formatCode="#,##0_);[Red]\(#,##0\)">
                  <c:v>319790</c:v>
                </c:pt>
                <c:pt idx="120" formatCode="#,##0_);[Red]\(#,##0\)">
                  <c:v>326290</c:v>
                </c:pt>
                <c:pt idx="121" formatCode="#,##0_);[Red]\(#,##0\)">
                  <c:v>305530</c:v>
                </c:pt>
                <c:pt idx="122" formatCode="#,##0_);[Red]\(#,##0\)">
                  <c:v>255190</c:v>
                </c:pt>
                <c:pt idx="123" formatCode="#,##0_);[Red]\(#,##0\)">
                  <c:v>208930</c:v>
                </c:pt>
                <c:pt idx="124" formatCode="#,##0_);[Red]\(#,##0\)">
                  <c:v>191260</c:v>
                </c:pt>
                <c:pt idx="125" formatCode="#,##0_);[Red]\(#,##0\)">
                  <c:v>188430</c:v>
                </c:pt>
                <c:pt idx="126" formatCode="#,##0_);[Red]\(#,##0\)">
                  <c:v>198460</c:v>
                </c:pt>
                <c:pt idx="127" formatCode="#,##0_);[Red]\(#,##0\)">
                  <c:v>217080</c:v>
                </c:pt>
                <c:pt idx="128" formatCode="#,##0_);[Red]\(#,##0\)">
                  <c:v>223210</c:v>
                </c:pt>
                <c:pt idx="129" formatCode="#,##0_);[Red]\(#,##0\)">
                  <c:v>223330</c:v>
                </c:pt>
                <c:pt idx="130" formatCode="#,##0_);[Red]\(#,##0\)">
                  <c:v>243190</c:v>
                </c:pt>
                <c:pt idx="131" formatCode="#,##0_);[Red]\(#,##0\)">
                  <c:v>331700</c:v>
                </c:pt>
                <c:pt idx="132" formatCode="#,##0_);[Red]\(#,##0\)">
                  <c:v>338250</c:v>
                </c:pt>
                <c:pt idx="133" formatCode="#,##0_);[Red]\(#,##0\)">
                  <c:v>317290</c:v>
                </c:pt>
                <c:pt idx="134" formatCode="#,##0_);[Red]\(#,##0\)">
                  <c:v>266460</c:v>
                </c:pt>
                <c:pt idx="135" formatCode="#,##0_);[Red]\(#,##0\)">
                  <c:v>219750</c:v>
                </c:pt>
                <c:pt idx="136" formatCode="#,##0_);[Red]\(#,##0\)">
                  <c:v>201910</c:v>
                </c:pt>
                <c:pt idx="137" formatCode="#,##0_);[Red]\(#,##0\)">
                  <c:v>199060</c:v>
                </c:pt>
                <c:pt idx="138" formatCode="#,##0_);[Red]\(#,##0\)">
                  <c:v>209180</c:v>
                </c:pt>
                <c:pt idx="139" formatCode="#,##0_);[Red]\(#,##0\)">
                  <c:v>227990</c:v>
                </c:pt>
                <c:pt idx="140" formatCode="#,##0_);[Red]\(#,##0\)">
                  <c:v>234170</c:v>
                </c:pt>
                <c:pt idx="141" formatCode="#,##0_);[Red]\(#,##0\)">
                  <c:v>234300</c:v>
                </c:pt>
                <c:pt idx="142" formatCode="#,##0_);[Red]\(#,##0\)">
                  <c:v>254350</c:v>
                </c:pt>
                <c:pt idx="143" formatCode="#,##0_);[Red]\(#,##0\)">
                  <c:v>334890</c:v>
                </c:pt>
                <c:pt idx="144" formatCode="#,##0_);[Red]\(#,##0\)">
                  <c:v>341480</c:v>
                </c:pt>
                <c:pt idx="145" formatCode="#,##0_);[Red]\(#,##0\)">
                  <c:v>320330</c:v>
                </c:pt>
                <c:pt idx="146" formatCode="#,##0_);[Red]\(#,##0\)">
                  <c:v>269000</c:v>
                </c:pt>
                <c:pt idx="147" formatCode="#,##0_);[Red]\(#,##0\)">
                  <c:v>221850</c:v>
                </c:pt>
                <c:pt idx="148" formatCode="#,##0_);[Red]\(#,##0\)">
                  <c:v>203830</c:v>
                </c:pt>
                <c:pt idx="149" formatCode="#,##0_);[Red]\(#,##0\)">
                  <c:v>200960</c:v>
                </c:pt>
                <c:pt idx="150" formatCode="#,##0_);[Red]\(#,##0\)">
                  <c:v>211170</c:v>
                </c:pt>
                <c:pt idx="151" formatCode="#,##0_);[Red]\(#,##0\)">
                  <c:v>230180</c:v>
                </c:pt>
                <c:pt idx="152" formatCode="#,##0_);[Red]\(#,##0\)">
                  <c:v>236430</c:v>
                </c:pt>
                <c:pt idx="153" formatCode="#,##0_);[Red]\(#,##0\)">
                  <c:v>236550</c:v>
                </c:pt>
                <c:pt idx="154" formatCode="#,##0_);[Red]\(#,##0\)">
                  <c:v>256780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59A-4C46-AB36-C83665902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869416"/>
        <c:axId val="510877648"/>
      </c:lineChart>
      <c:dateAx>
        <c:axId val="510869416"/>
        <c:scaling>
          <c:orientation val="minMax"/>
          <c:max val="47849"/>
          <c:min val="43101"/>
        </c:scaling>
        <c:delete val="0"/>
        <c:axPos val="b"/>
        <c:majorGridlines>
          <c:spPr>
            <a:ln w="3175">
              <a:solidFill>
                <a:schemeClr val="bg1">
                  <a:lumMod val="75000"/>
                </a:schemeClr>
              </a:solidFill>
            </a:ln>
          </c:spPr>
        </c:majorGridlines>
        <c:minorGridlines>
          <c:spPr>
            <a:ln w="3175">
              <a:solidFill>
                <a:schemeClr val="bg1">
                  <a:lumMod val="95000"/>
                </a:schemeClr>
              </a:solidFill>
            </a:ln>
          </c:spPr>
        </c:minorGridlines>
        <c:numFmt formatCode="yyyy" sourceLinked="0"/>
        <c:majorTickMark val="in"/>
        <c:minorTickMark val="none"/>
        <c:tickLblPos val="nextTo"/>
        <c:spPr>
          <a:ln w="3175">
            <a:solidFill>
              <a:schemeClr val="bg1">
                <a:lumMod val="75000"/>
              </a:schemeClr>
            </a:solidFill>
          </a:ln>
        </c:spPr>
        <c:txPr>
          <a:bodyPr rot="-2700000" vert="horz"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10877648"/>
        <c:crosses val="autoZero"/>
        <c:auto val="1"/>
        <c:lblOffset val="100"/>
        <c:baseTimeUnit val="months"/>
        <c:majorUnit val="12"/>
        <c:majorTimeUnit val="months"/>
        <c:minorUnit val="1"/>
        <c:minorTimeUnit val="days"/>
      </c:dateAx>
      <c:valAx>
        <c:axId val="510877648"/>
        <c:scaling>
          <c:orientation val="minMax"/>
          <c:max val="360000"/>
          <c:min val="20000"/>
        </c:scaling>
        <c:delete val="0"/>
        <c:axPos val="l"/>
        <c:majorGridlines>
          <c:spPr>
            <a:ln w="3175">
              <a:solidFill>
                <a:schemeClr val="bg1">
                  <a:lumMod val="95000"/>
                </a:schemeClr>
              </a:solidFill>
            </a:ln>
          </c:spPr>
        </c:majorGridlines>
        <c:numFmt formatCode="#,##0_ ;[Red]\-#,##0\ " sourceLinked="1"/>
        <c:majorTickMark val="in"/>
        <c:minorTickMark val="none"/>
        <c:tickLblPos val="high"/>
        <c:spPr>
          <a:ln w="3175">
            <a:solidFill>
              <a:schemeClr val="bg1">
                <a:lumMod val="9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10869416"/>
        <c:crossesAt val="0"/>
        <c:crossBetween val="midCat"/>
        <c:dispUnits>
          <c:builtInUnit val="thousands"/>
          <c:dispUnitsLbl/>
        </c:dispUnits>
      </c:valAx>
    </c:plotArea>
    <c:legend>
      <c:legendPos val="b"/>
      <c:legendEntry>
        <c:idx val="0"/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</c:legendEntry>
      <c:legendEntry>
        <c:idx val="1"/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0"/>
    <c:dispBlanksAs val="gap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5527718538399198E-2"/>
          <c:y val="2.928009121471508E-2"/>
          <c:w val="0.9135772158499581"/>
          <c:h val="0.86606024530722092"/>
        </c:manualLayout>
      </c:layout>
      <c:lineChart>
        <c:grouping val="standard"/>
        <c:varyColors val="0"/>
        <c:ser>
          <c:idx val="2"/>
          <c:order val="0"/>
          <c:tx>
            <c:v>2018</c:v>
          </c:tx>
          <c:spPr>
            <a:ln w="12700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관리비_Kenneth!$C$4:$C$15</c:f>
              <c:numCache>
                <c:formatCode>#,##0_ ;[Red]\-#,##0\ </c:formatCode>
                <c:ptCount val="12"/>
                <c:pt idx="2">
                  <c:v>160970</c:v>
                </c:pt>
                <c:pt idx="3">
                  <c:v>156020</c:v>
                </c:pt>
                <c:pt idx="4">
                  <c:v>142750</c:v>
                </c:pt>
                <c:pt idx="5">
                  <c:v>133740</c:v>
                </c:pt>
                <c:pt idx="6">
                  <c:v>136380</c:v>
                </c:pt>
                <c:pt idx="7">
                  <c:v>143210</c:v>
                </c:pt>
                <c:pt idx="8">
                  <c:v>130260</c:v>
                </c:pt>
                <c:pt idx="9">
                  <c:v>139050</c:v>
                </c:pt>
                <c:pt idx="10">
                  <c:v>189170</c:v>
                </c:pt>
                <c:pt idx="11">
                  <c:v>195900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99-448E-954A-964F4EF4B5FC}"/>
            </c:ext>
          </c:extLst>
        </c:ser>
        <c:ser>
          <c:idx val="3"/>
          <c:order val="1"/>
          <c:tx>
            <c:v>2019</c:v>
          </c:tx>
          <c:spPr>
            <a:ln w="1270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관리비_Kenneth!$C$16:$C$27</c:f>
              <c:numCache>
                <c:formatCode>#,##0_ ;[Red]\-#,##0\ </c:formatCode>
                <c:ptCount val="12"/>
                <c:pt idx="0">
                  <c:v>225630</c:v>
                </c:pt>
                <c:pt idx="1">
                  <c:v>216490</c:v>
                </c:pt>
                <c:pt idx="2">
                  <c:v>189890</c:v>
                </c:pt>
                <c:pt idx="3">
                  <c:v>171620</c:v>
                </c:pt>
                <c:pt idx="4">
                  <c:v>152450</c:v>
                </c:pt>
                <c:pt idx="5">
                  <c:v>126770</c:v>
                </c:pt>
                <c:pt idx="6">
                  <c:v>131270</c:v>
                </c:pt>
                <c:pt idx="7">
                  <c:v>134150</c:v>
                </c:pt>
                <c:pt idx="8">
                  <c:v>138530</c:v>
                </c:pt>
                <c:pt idx="9">
                  <c:v>138610</c:v>
                </c:pt>
                <c:pt idx="10">
                  <c:v>159550</c:v>
                </c:pt>
                <c:pt idx="11">
                  <c:v>194700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99-448E-954A-964F4EF4B5FC}"/>
            </c:ext>
          </c:extLst>
        </c:ser>
        <c:ser>
          <c:idx val="7"/>
          <c:order val="2"/>
          <c:tx>
            <c:v>2020</c:v>
          </c:tx>
          <c:spPr>
            <a:ln w="12700" cap="rnd" cmpd="sng" algn="ctr">
              <a:solidFill>
                <a:schemeClr val="accent3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관리비_Kenneth!$C$28:$C$39</c:f>
              <c:numCache>
                <c:formatCode>#,##0_ ;[Red]\-#,##0\ </c:formatCode>
                <c:ptCount val="12"/>
                <c:pt idx="0">
                  <c:v>188600</c:v>
                </c:pt>
                <c:pt idx="1">
                  <c:v>208020</c:v>
                </c:pt>
                <c:pt idx="2">
                  <c:v>207150</c:v>
                </c:pt>
                <c:pt idx="3">
                  <c:v>188980</c:v>
                </c:pt>
                <c:pt idx="4">
                  <c:v>170290</c:v>
                </c:pt>
                <c:pt idx="5">
                  <c:v>150100</c:v>
                </c:pt>
                <c:pt idx="6">
                  <c:v>150910</c:v>
                </c:pt>
                <c:pt idx="7">
                  <c:v>148570</c:v>
                </c:pt>
                <c:pt idx="8">
                  <c:v>155740</c:v>
                </c:pt>
                <c:pt idx="9">
                  <c:v>136780</c:v>
                </c:pt>
                <c:pt idx="10">
                  <c:v>171520</c:v>
                </c:pt>
                <c:pt idx="11">
                  <c:v>198980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199-448E-954A-964F4EF4B5FC}"/>
            </c:ext>
          </c:extLst>
        </c:ser>
        <c:ser>
          <c:idx val="8"/>
          <c:order val="3"/>
          <c:tx>
            <c:v>2021</c:v>
          </c:tx>
          <c:spPr>
            <a:ln w="12700" cap="rnd" cmpd="sng" algn="ctr">
              <a:solidFill>
                <a:schemeClr val="accent5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관리비_Kenneth!$C$40:$C$51</c:f>
              <c:numCache>
                <c:formatCode>#,##0_ ;[Red]\-#,##0\ </c:formatCode>
                <c:ptCount val="12"/>
                <c:pt idx="0">
                  <c:v>229500</c:v>
                </c:pt>
                <c:pt idx="1">
                  <c:v>202280</c:v>
                </c:pt>
                <c:pt idx="2">
                  <c:v>172940</c:v>
                </c:pt>
                <c:pt idx="3">
                  <c:v>165010</c:v>
                </c:pt>
                <c:pt idx="4">
                  <c:v>165680</c:v>
                </c:pt>
                <c:pt idx="5">
                  <c:v>146080</c:v>
                </c:pt>
                <c:pt idx="6">
                  <c:v>169080</c:v>
                </c:pt>
                <c:pt idx="7">
                  <c:v>142750</c:v>
                </c:pt>
                <c:pt idx="8">
                  <c:v>157460</c:v>
                </c:pt>
                <c:pt idx="9">
                  <c:v>152520</c:v>
                </c:pt>
                <c:pt idx="10">
                  <c:v>165100</c:v>
                </c:pt>
                <c:pt idx="11">
                  <c:v>105390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199-448E-954A-964F4EF4B5FC}"/>
            </c:ext>
          </c:extLst>
        </c:ser>
        <c:ser>
          <c:idx val="4"/>
          <c:order val="4"/>
          <c:tx>
            <c:v>2022</c:v>
          </c:tx>
          <c:spPr>
            <a:ln w="12700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관리비_Kenneth!$C$60:$C$71</c:f>
              <c:numCache>
                <c:formatCode>#,##0_);[Red]\(#,##0\)</c:formatCode>
                <c:ptCount val="12"/>
                <c:pt idx="0">
                  <c:v>244880</c:v>
                </c:pt>
                <c:pt idx="1">
                  <c:v>232600</c:v>
                </c:pt>
                <c:pt idx="2">
                  <c:v>189760</c:v>
                </c:pt>
                <c:pt idx="3">
                  <c:v>153270</c:v>
                </c:pt>
                <c:pt idx="4">
                  <c:v>137000</c:v>
                </c:pt>
                <c:pt idx="5">
                  <c:v>134210</c:v>
                </c:pt>
                <c:pt idx="6">
                  <c:v>149570</c:v>
                </c:pt>
                <c:pt idx="7">
                  <c:v>155680</c:v>
                </c:pt>
                <c:pt idx="8">
                  <c:v>151930</c:v>
                </c:pt>
                <c:pt idx="9">
                  <c:v>148410</c:v>
                </c:pt>
                <c:pt idx="10">
                  <c:v>189100</c:v>
                </c:pt>
                <c:pt idx="11">
                  <c:v>279230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199-448E-954A-964F4EF4B5FC}"/>
            </c:ext>
          </c:extLst>
        </c:ser>
        <c:ser>
          <c:idx val="5"/>
          <c:order val="5"/>
          <c:tx>
            <c:v>2023</c:v>
          </c:tx>
          <c:spPr>
            <a:ln w="12700" cap="rnd" cmpd="sng" algn="ctr">
              <a:solidFill>
                <a:schemeClr val="accent5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관리비_Kenneth!$C$72:$C$83</c:f>
              <c:numCache>
                <c:formatCode>#,##0_);[Red]\(#,##0\)</c:formatCode>
                <c:ptCount val="12"/>
                <c:pt idx="0">
                  <c:v>304540</c:v>
                </c:pt>
                <c:pt idx="1">
                  <c:v>244930</c:v>
                </c:pt>
                <c:pt idx="2">
                  <c:v>189450</c:v>
                </c:pt>
                <c:pt idx="3">
                  <c:v>161150</c:v>
                </c:pt>
                <c:pt idx="4">
                  <c:v>149580</c:v>
                </c:pt>
                <c:pt idx="5">
                  <c:v>149810</c:v>
                </c:pt>
                <c:pt idx="6">
                  <c:v>159490</c:v>
                </c:pt>
                <c:pt idx="7">
                  <c:v>178150</c:v>
                </c:pt>
                <c:pt idx="8">
                  <c:v>172050</c:v>
                </c:pt>
                <c:pt idx="9">
                  <c:v>164270</c:v>
                </c:pt>
                <c:pt idx="10">
                  <c:v>241350</c:v>
                </c:pt>
                <c:pt idx="11">
                  <c:v>204800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199-448E-954A-964F4EF4B5FC}"/>
            </c:ext>
          </c:extLst>
        </c:ser>
        <c:ser>
          <c:idx val="6"/>
          <c:order val="6"/>
          <c:tx>
            <c:v>2024</c:v>
          </c:tx>
          <c:spPr>
            <a:ln w="12700" cap="rnd" cmpd="sng" algn="ctr">
              <a:solidFill>
                <a:schemeClr val="accent1">
                  <a:lumMod val="80000"/>
                  <a:lumOff val="2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관리비_Kenneth!$C$84:$C$95</c:f>
              <c:numCache>
                <c:formatCode>#,##0_);[Red]\(#,##0\)</c:formatCode>
                <c:ptCount val="12"/>
                <c:pt idx="0">
                  <c:v>269060</c:v>
                </c:pt>
                <c:pt idx="1">
                  <c:v>238910</c:v>
                </c:pt>
                <c:pt idx="2">
                  <c:v>200520</c:v>
                </c:pt>
                <c:pt idx="3">
                  <c:v>178860</c:v>
                </c:pt>
                <c:pt idx="4">
                  <c:v>158700</c:v>
                </c:pt>
                <c:pt idx="5">
                  <c:v>166050</c:v>
                </c:pt>
                <c:pt idx="6">
                  <c:v>174550</c:v>
                </c:pt>
                <c:pt idx="7">
                  <c:v>190910</c:v>
                </c:pt>
                <c:pt idx="8">
                  <c:v>195670</c:v>
                </c:pt>
                <c:pt idx="9">
                  <c:v>193350</c:v>
                </c:pt>
                <c:pt idx="10">
                  <c:v>212290</c:v>
                </c:pt>
                <c:pt idx="11">
                  <c:v>277090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199-448E-954A-964F4EF4B5FC}"/>
            </c:ext>
          </c:extLst>
        </c:ser>
        <c:ser>
          <c:idx val="0"/>
          <c:order val="7"/>
          <c:tx>
            <c:v>2025</c:v>
          </c:tx>
          <c:spPr>
            <a:ln w="25400" cap="rnd" cmpd="sng" algn="ctr">
              <a:solidFill>
                <a:srgbClr val="C00000">
                  <a:alpha val="5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관리비_Kenneth!$C$96:$C$107</c:f>
              <c:numCache>
                <c:formatCode>#,##0_);[Red]\(#,##0\)</c:formatCode>
                <c:ptCount val="12"/>
                <c:pt idx="0">
                  <c:v>329190</c:v>
                </c:pt>
                <c:pt idx="1">
                  <c:v>289250</c:v>
                </c:pt>
                <c:pt idx="2">
                  <c:v>225630</c:v>
                </c:pt>
                <c:pt idx="3">
                  <c:v>184100</c:v>
                </c:pt>
                <c:pt idx="4">
                  <c:v>169520</c:v>
                </c:pt>
                <c:pt idx="5">
                  <c:v>177120</c:v>
                </c:pt>
                <c:pt idx="6">
                  <c:v>191100</c:v>
                </c:pt>
                <c:pt idx="7">
                  <c:v>204510</c:v>
                </c:pt>
                <c:pt idx="8">
                  <c:v>198150</c:v>
                </c:pt>
                <c:pt idx="9">
                  <c:v>185550</c:v>
                </c:pt>
                <c:pt idx="10">
                  <c:v>222090</c:v>
                </c:pt>
                <c:pt idx="11">
                  <c:v>266610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199-448E-954A-964F4EF4B5FC}"/>
            </c:ext>
          </c:extLst>
        </c:ser>
        <c:ser>
          <c:idx val="1"/>
          <c:order val="8"/>
          <c:tx>
            <c:v>2026</c:v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관리비_Kenneth!$C$108:$C$119</c:f>
              <c:numCache>
                <c:formatCode>#,##0_);[Red]\(#,##0\)</c:formatCode>
                <c:ptCount val="12"/>
                <c:pt idx="0">
                  <c:v>313170</c:v>
                </c:pt>
                <c:pt idx="1">
                  <c:v>266210</c:v>
                </c:pt>
                <c:pt idx="2">
                  <c:v>224700</c:v>
                </c:pt>
                <c:pt idx="3">
                  <c:v>190080</c:v>
                </c:pt>
                <c:pt idx="4">
                  <c:v>171860</c:v>
                </c:pt>
                <c:pt idx="5">
                  <c:v>179340</c:v>
                </c:pt>
                <c:pt idx="6">
                  <c:v>186290</c:v>
                </c:pt>
                <c:pt idx="7">
                  <c:v>200480</c:v>
                </c:pt>
                <c:pt idx="8">
                  <c:v>205020</c:v>
                </c:pt>
                <c:pt idx="9">
                  <c:v>212895</c:v>
                </c:pt>
                <c:pt idx="10">
                  <c:v>285010</c:v>
                </c:pt>
                <c:pt idx="11">
                  <c:v>316640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199-448E-954A-964F4EF4B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874904"/>
        <c:axId val="510870592"/>
      </c:lineChart>
      <c:catAx>
        <c:axId val="51087490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numFmt formatCode="yyyy" sourceLinked="0"/>
        <c:majorTickMark val="in"/>
        <c:minorTickMark val="none"/>
        <c:tickLblPos val="nextTo"/>
        <c:spPr>
          <a:noFill/>
          <a:ln w="3175" cap="flat" cmpd="sng" algn="ctr">
            <a:solidFill>
              <a:schemeClr val="bg1">
                <a:lumMod val="95000"/>
              </a:schemeClr>
            </a:solidFill>
            <a:prstDash val="solid"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0870592"/>
        <c:crosses val="autoZero"/>
        <c:auto val="1"/>
        <c:lblAlgn val="ctr"/>
        <c:lblOffset val="100"/>
        <c:noMultiLvlLbl val="0"/>
      </c:catAx>
      <c:valAx>
        <c:axId val="510870592"/>
        <c:scaling>
          <c:logBase val="10"/>
          <c:orientation val="minMax"/>
          <c:max val="330000"/>
          <c:min val="1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#,##0_ ;[Red]\-#,##0\ " sourceLinked="1"/>
        <c:majorTickMark val="in"/>
        <c:minorTickMark val="none"/>
        <c:tickLblPos val="high"/>
        <c:spPr>
          <a:noFill/>
          <a:ln w="3175" cap="flat" cmpd="sng" algn="ctr">
            <a:solidFill>
              <a:schemeClr val="bg1">
                <a:lumMod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0874904"/>
        <c:crosses val="autoZero"/>
        <c:crossBetween val="midCat"/>
        <c:majorUnit val="10"/>
        <c:minorUnit val="10"/>
        <c:dispUnits>
          <c:builtInUnit val="thousands"/>
        </c:dispUnits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869816952105248"/>
          <c:y val="0.23325936450597298"/>
          <c:w val="0.49574980465497587"/>
          <c:h val="8.7204652160340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22" l="0.70000000000000062" r="0.70000000000000062" t="0.750000000000008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0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ko-KR" altLang="en-US" sz="1000">
                <a:solidFill>
                  <a:schemeClr val="tx1">
                    <a:lumMod val="75000"/>
                    <a:lumOff val="25000"/>
                  </a:schemeClr>
                </a:solidFill>
              </a:rPr>
              <a:t>가스 사용량</a:t>
            </a:r>
          </a:p>
        </c:rich>
      </c:tx>
      <c:layout>
        <c:manualLayout>
          <c:xMode val="edge"/>
          <c:yMode val="edge"/>
          <c:x val="4.7809618356528964E-2"/>
          <c:y val="2.59860636945021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968846894510848E-2"/>
          <c:y val="0.16070455046143528"/>
          <c:w val="0.88725164255987854"/>
          <c:h val="0.64882357778410227"/>
        </c:manualLayout>
      </c:layout>
      <c:barChart>
        <c:barDir val="col"/>
        <c:grouping val="clustered"/>
        <c:varyColors val="0"/>
        <c:ser>
          <c:idx val="8"/>
          <c:order val="0"/>
          <c:tx>
            <c:v>2022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관리비_Kenneth!$AE$60:$AE$71</c:f>
              <c:numCache>
                <c:formatCode>#,##0_);[Red]\(#,##0\)</c:formatCode>
                <c:ptCount val="12"/>
                <c:pt idx="0">
                  <c:v>133</c:v>
                </c:pt>
                <c:pt idx="1">
                  <c:v>108</c:v>
                </c:pt>
                <c:pt idx="2">
                  <c:v>66</c:v>
                </c:pt>
                <c:pt idx="3">
                  <c:v>17</c:v>
                </c:pt>
                <c:pt idx="4">
                  <c:v>11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18</c:v>
                </c:pt>
                <c:pt idx="10">
                  <c:v>54</c:v>
                </c:pt>
                <c:pt idx="1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4-4DFA-86E7-E9E204AD1C48}"/>
            </c:ext>
          </c:extLst>
        </c:ser>
        <c:ser>
          <c:idx val="10"/>
          <c:order val="1"/>
          <c:tx>
            <c:v>2023</c:v>
          </c:tx>
          <c:spPr>
            <a:solidFill>
              <a:srgbClr val="00B0F0"/>
            </a:solidFill>
            <a:ln>
              <a:noFill/>
            </a:ln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관리비_Kenneth!$AE$72:$AE$83</c:f>
              <c:numCache>
                <c:formatCode>#,##0_);[Red]\(#,##0\)</c:formatCode>
                <c:ptCount val="12"/>
                <c:pt idx="0">
                  <c:v>157</c:v>
                </c:pt>
                <c:pt idx="1">
                  <c:v>98</c:v>
                </c:pt>
                <c:pt idx="2">
                  <c:v>44</c:v>
                </c:pt>
                <c:pt idx="3">
                  <c:v>18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11</c:v>
                </c:pt>
                <c:pt idx="10">
                  <c:v>87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4-4DFA-86E7-E9E204AD1C48}"/>
            </c:ext>
          </c:extLst>
        </c:ser>
        <c:ser>
          <c:idx val="12"/>
          <c:order val="2"/>
          <c:tx>
            <c:v>2024</c:v>
          </c:tx>
          <c:spPr>
            <a:solidFill>
              <a:srgbClr val="92D050"/>
            </a:solidFill>
            <a:ln>
              <a:noFill/>
            </a:ln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관리비_Kenneth!$AE$84:$AE$95</c:f>
              <c:numCache>
                <c:formatCode>#,##0_);[Red]\(#,##0\)</c:formatCode>
                <c:ptCount val="12"/>
                <c:pt idx="0">
                  <c:v>133</c:v>
                </c:pt>
                <c:pt idx="1">
                  <c:v>74</c:v>
                </c:pt>
                <c:pt idx="2">
                  <c:v>42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0.49</c:v>
                </c:pt>
                <c:pt idx="8">
                  <c:v>0.49</c:v>
                </c:pt>
                <c:pt idx="9">
                  <c:v>5</c:v>
                </c:pt>
                <c:pt idx="10">
                  <c:v>44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4-4DFA-86E7-E9E204AD1C48}"/>
            </c:ext>
          </c:extLst>
        </c:ser>
        <c:ser>
          <c:idx val="0"/>
          <c:order val="3"/>
          <c:tx>
            <c:v>2025</c:v>
          </c:tx>
          <c:spPr>
            <a:solidFill>
              <a:srgbClr val="C00000">
                <a:alpha val="50000"/>
              </a:srgbClr>
            </a:solidFill>
            <a:ln>
              <a:noFill/>
            </a:ln>
          </c:spPr>
          <c:invertIfNegative val="0"/>
          <c:cat>
            <c:strRef>
              <c:f>관리비_Kenneth!$B$96:$B$107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관리비_Kenneth!$AE$96:$AE$107</c:f>
              <c:numCache>
                <c:formatCode>#,##0_);[Red]\(#,##0\)</c:formatCode>
                <c:ptCount val="12"/>
                <c:pt idx="0">
                  <c:v>142</c:v>
                </c:pt>
                <c:pt idx="1">
                  <c:v>97</c:v>
                </c:pt>
                <c:pt idx="2">
                  <c:v>53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55</c:v>
                </c:pt>
                <c:pt idx="1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14-4DFA-86E7-E9E204AD1C48}"/>
            </c:ext>
          </c:extLst>
        </c:ser>
        <c:ser>
          <c:idx val="2"/>
          <c:order val="4"/>
          <c:tx>
            <c:v>2026</c:v>
          </c:tx>
          <c:spPr>
            <a:solidFill>
              <a:srgbClr val="C00000"/>
            </a:solidFill>
            <a:ln>
              <a:noFill/>
            </a:ln>
          </c:spPr>
          <c:invertIfNegative val="0"/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관리비_Kenneth!$AE$108:$AE$119</c:f>
              <c:numCache>
                <c:formatCode>#,##0_);[Red]\(#,##0\)</c:formatCode>
                <c:ptCount val="12"/>
                <c:pt idx="0">
                  <c:v>127</c:v>
                </c:pt>
                <c:pt idx="1">
                  <c:v>77</c:v>
                </c:pt>
                <c:pt idx="2">
                  <c:v>47</c:v>
                </c:pt>
                <c:pt idx="3">
                  <c:v>11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13</c:v>
                </c:pt>
                <c:pt idx="10">
                  <c:v>54</c:v>
                </c:pt>
                <c:pt idx="1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14-4DFA-86E7-E9E204AD1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867848"/>
        <c:axId val="510876864"/>
      </c:barChart>
      <c:lineChart>
        <c:grouping val="standard"/>
        <c:varyColors val="0"/>
        <c:ser>
          <c:idx val="9"/>
          <c:order val="5"/>
          <c:tx>
            <c:v>2022선</c:v>
          </c:tx>
          <c:spPr>
            <a:ln w="15875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관리비_Kenneth!$AE$60:$AE$71</c:f>
              <c:numCache>
                <c:formatCode>#,##0_);[Red]\(#,##0\)</c:formatCode>
                <c:ptCount val="12"/>
                <c:pt idx="0">
                  <c:v>133</c:v>
                </c:pt>
                <c:pt idx="1">
                  <c:v>108</c:v>
                </c:pt>
                <c:pt idx="2">
                  <c:v>66</c:v>
                </c:pt>
                <c:pt idx="3">
                  <c:v>17</c:v>
                </c:pt>
                <c:pt idx="4">
                  <c:v>11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18</c:v>
                </c:pt>
                <c:pt idx="10">
                  <c:v>54</c:v>
                </c:pt>
                <c:pt idx="11">
                  <c:v>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D14-4DFA-86E7-E9E204AD1C48}"/>
            </c:ext>
          </c:extLst>
        </c:ser>
        <c:ser>
          <c:idx val="11"/>
          <c:order val="6"/>
          <c:tx>
            <c:v>2023선</c:v>
          </c:tx>
          <c:spPr>
            <a:ln w="158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관리비_Kenneth!$AE$72:$AE$83</c:f>
              <c:numCache>
                <c:formatCode>#,##0_);[Red]\(#,##0\)</c:formatCode>
                <c:ptCount val="12"/>
                <c:pt idx="0">
                  <c:v>157</c:v>
                </c:pt>
                <c:pt idx="1">
                  <c:v>98</c:v>
                </c:pt>
                <c:pt idx="2">
                  <c:v>44</c:v>
                </c:pt>
                <c:pt idx="3">
                  <c:v>18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11</c:v>
                </c:pt>
                <c:pt idx="10">
                  <c:v>87</c:v>
                </c:pt>
                <c:pt idx="11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D14-4DFA-86E7-E9E204AD1C48}"/>
            </c:ext>
          </c:extLst>
        </c:ser>
        <c:ser>
          <c:idx val="13"/>
          <c:order val="7"/>
          <c:tx>
            <c:v>2024선</c:v>
          </c:tx>
          <c:spPr>
            <a:ln w="15875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관리비_Kenneth!$AE$84:$AE$95</c:f>
              <c:numCache>
                <c:formatCode>#,##0_);[Red]\(#,##0\)</c:formatCode>
                <c:ptCount val="12"/>
                <c:pt idx="0">
                  <c:v>133</c:v>
                </c:pt>
                <c:pt idx="1">
                  <c:v>74</c:v>
                </c:pt>
                <c:pt idx="2">
                  <c:v>42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0.49</c:v>
                </c:pt>
                <c:pt idx="8">
                  <c:v>0.49</c:v>
                </c:pt>
                <c:pt idx="9">
                  <c:v>5</c:v>
                </c:pt>
                <c:pt idx="10">
                  <c:v>44</c:v>
                </c:pt>
                <c:pt idx="11">
                  <c:v>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D14-4DFA-86E7-E9E204AD1C48}"/>
            </c:ext>
          </c:extLst>
        </c:ser>
        <c:ser>
          <c:idx val="1"/>
          <c:order val="8"/>
          <c:tx>
            <c:v>2025선</c:v>
          </c:tx>
          <c:spPr>
            <a:ln w="25400">
              <a:solidFill>
                <a:srgbClr val="C00000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관리비_Kenneth!$AE$96:$AE$107</c:f>
              <c:numCache>
                <c:formatCode>#,##0_);[Red]\(#,##0\)</c:formatCode>
                <c:ptCount val="12"/>
                <c:pt idx="0">
                  <c:v>142</c:v>
                </c:pt>
                <c:pt idx="1">
                  <c:v>97</c:v>
                </c:pt>
                <c:pt idx="2">
                  <c:v>53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55</c:v>
                </c:pt>
                <c:pt idx="11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D14-4DFA-86E7-E9E204AD1C48}"/>
            </c:ext>
          </c:extLst>
        </c:ser>
        <c:ser>
          <c:idx val="3"/>
          <c:order val="9"/>
          <c:tx>
            <c:v>2026선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관리비_Kenneth!$AE$108:$AE$119</c:f>
              <c:numCache>
                <c:formatCode>#,##0_);[Red]\(#,##0\)</c:formatCode>
                <c:ptCount val="12"/>
                <c:pt idx="0">
                  <c:v>127</c:v>
                </c:pt>
                <c:pt idx="1">
                  <c:v>77</c:v>
                </c:pt>
                <c:pt idx="2">
                  <c:v>47</c:v>
                </c:pt>
                <c:pt idx="3">
                  <c:v>11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13</c:v>
                </c:pt>
                <c:pt idx="10">
                  <c:v>54</c:v>
                </c:pt>
                <c:pt idx="11">
                  <c:v>130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D14-4DFA-86E7-E9E204AD1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867848"/>
        <c:axId val="510876864"/>
      </c:lineChart>
      <c:catAx>
        <c:axId val="51086784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>
            <a:solidFill>
              <a:sysClr val="window" lastClr="FFFFFF">
                <a:lumMod val="85000"/>
              </a:sysClr>
            </a:solidFill>
          </a:ln>
        </c:spPr>
        <c:txPr>
          <a:bodyPr/>
          <a:lstStyle/>
          <a:p>
            <a:pPr>
              <a:defRPr sz="7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10876864"/>
        <c:crosses val="autoZero"/>
        <c:auto val="1"/>
        <c:lblAlgn val="ctr"/>
        <c:lblOffset val="100"/>
        <c:tickMarkSkip val="1"/>
        <c:noMultiLvlLbl val="0"/>
      </c:catAx>
      <c:valAx>
        <c:axId val="510876864"/>
        <c:scaling>
          <c:logBase val="10"/>
          <c:orientation val="minMax"/>
          <c:max val="170"/>
          <c:min val="1"/>
        </c:scaling>
        <c:delete val="0"/>
        <c:axPos val="l"/>
        <c:majorGridlines>
          <c:spPr>
            <a:ln>
              <a:solidFill>
                <a:sysClr val="window" lastClr="FFFFFF">
                  <a:lumMod val="85000"/>
                </a:sysClr>
              </a:solidFill>
            </a:ln>
          </c:spPr>
        </c:majorGridlines>
        <c:numFmt formatCode="_(* #,##0_);_(* \(#,##0\);_(* &quot;-&quot;_);_(@_)" sourceLinked="0"/>
        <c:majorTickMark val="none"/>
        <c:minorTickMark val="none"/>
        <c:tickLblPos val="high"/>
        <c:spPr>
          <a:ln>
            <a:solidFill>
              <a:sysClr val="window" lastClr="FFFFFF">
                <a:lumMod val="85000"/>
              </a:sys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10867848"/>
        <c:crosses val="autoZero"/>
        <c:crossBetween val="between"/>
      </c:valAx>
    </c:plotArea>
    <c:legend>
      <c:legendPos val="t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35284941344339776"/>
          <c:y val="0.20573146573247361"/>
          <c:w val="0.43700945777606243"/>
          <c:h val="7.8460090932571322E-2"/>
        </c:manualLayout>
      </c:layout>
      <c:overlay val="1"/>
      <c:txPr>
        <a:bodyPr/>
        <a:lstStyle/>
        <a:p>
          <a:pPr>
            <a:defRPr>
              <a:solidFill>
                <a:schemeClr val="tx1">
                  <a:lumMod val="50000"/>
                  <a:lumOff val="50000"/>
                </a:schemeClr>
              </a:solidFill>
            </a:defRPr>
          </a:pPr>
          <a:endParaRPr lang="ko-KR"/>
        </a:p>
      </c:txPr>
    </c:legend>
    <c:plotVisOnly val="0"/>
    <c:dispBlanksAs val="span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0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ko-KR" altLang="en-US" sz="1000">
                <a:solidFill>
                  <a:schemeClr val="tx1">
                    <a:lumMod val="75000"/>
                    <a:lumOff val="25000"/>
                  </a:schemeClr>
                </a:solidFill>
              </a:rPr>
              <a:t>가스단가</a:t>
            </a:r>
          </a:p>
        </c:rich>
      </c:tx>
      <c:layout>
        <c:manualLayout>
          <c:xMode val="edge"/>
          <c:yMode val="edge"/>
          <c:x val="4.7809618356528964E-2"/>
          <c:y val="2.598606369450210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8"/>
          <c:order val="0"/>
          <c:tx>
            <c:v>2022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관리비_Kenneth!$AL$60:$AL$71</c:f>
              <c:numCache>
                <c:formatCode>#,##0_);[Red]\(#,##0\)</c:formatCode>
                <c:ptCount val="12"/>
                <c:pt idx="0">
                  <c:v>670.52631578947364</c:v>
                </c:pt>
                <c:pt idx="1">
                  <c:v>681.57407407407402</c:v>
                </c:pt>
                <c:pt idx="2">
                  <c:v>679.69696969696975</c:v>
                </c:pt>
                <c:pt idx="3">
                  <c:v>758.82352941176475</c:v>
                </c:pt>
                <c:pt idx="4">
                  <c:v>842.72727272727275</c:v>
                </c:pt>
                <c:pt idx="5">
                  <c:v>767.5</c:v>
                </c:pt>
                <c:pt idx="6">
                  <c:v>982.5</c:v>
                </c:pt>
                <c:pt idx="7">
                  <c:v>985</c:v>
                </c:pt>
                <c:pt idx="8">
                  <c:v>970</c:v>
                </c:pt>
                <c:pt idx="9">
                  <c:v>986.66666666666663</c:v>
                </c:pt>
                <c:pt idx="10">
                  <c:v>944.44444444444446</c:v>
                </c:pt>
                <c:pt idx="11">
                  <c:v>929.5454545454545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9-4E5A-9D4A-B3A44A0BCDC4}"/>
            </c:ext>
          </c:extLst>
        </c:ser>
        <c:ser>
          <c:idx val="10"/>
          <c:order val="1"/>
          <c:tx>
            <c:v>2023</c:v>
          </c:tx>
          <c:spPr>
            <a:solidFill>
              <a:srgbClr val="00B0F0"/>
            </a:solidFill>
            <a:ln>
              <a:noFill/>
            </a:ln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관리비_Kenneth!$AL$72:$AL$83</c:f>
              <c:numCache>
                <c:formatCode>#,##0_);[Red]\(#,##0\)</c:formatCode>
                <c:ptCount val="12"/>
                <c:pt idx="0">
                  <c:v>939.80891719745227</c:v>
                </c:pt>
                <c:pt idx="1">
                  <c:v>934.48979591836735</c:v>
                </c:pt>
                <c:pt idx="2">
                  <c:v>940.22727272727275</c:v>
                </c:pt>
                <c:pt idx="3">
                  <c:v>968.88888888888891</c:v>
                </c:pt>
                <c:pt idx="4">
                  <c:v>1067.1428571428571</c:v>
                </c:pt>
                <c:pt idx="5">
                  <c:v>1175</c:v>
                </c:pt>
                <c:pt idx="6">
                  <c:v>1313.3333333333333</c:v>
                </c:pt>
                <c:pt idx="7">
                  <c:v>1480</c:v>
                </c:pt>
                <c:pt idx="8">
                  <c:v>1306.6666666666667</c:v>
                </c:pt>
                <c:pt idx="9">
                  <c:v>1064.5454545454545</c:v>
                </c:pt>
                <c:pt idx="10">
                  <c:v>988.27586206896547</c:v>
                </c:pt>
                <c:pt idx="11">
                  <c:v>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9-4E5A-9D4A-B3A44A0BCDC4}"/>
            </c:ext>
          </c:extLst>
        </c:ser>
        <c:ser>
          <c:idx val="12"/>
          <c:order val="2"/>
          <c:tx>
            <c:v>2024</c:v>
          </c:tx>
          <c:spPr>
            <a:solidFill>
              <a:srgbClr val="92D050"/>
            </a:solidFill>
            <a:ln>
              <a:noFill/>
            </a:ln>
          </c:spPr>
          <c:invertIfNegative val="0"/>
          <c:cat>
            <c:strRef>
              <c:f>관리비_Kenneth!$B$84:$B$95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관리비_Kenneth!$AL$84:$AL$95</c:f>
              <c:numCache>
                <c:formatCode>#,##0_);[Red]\(#,##0\)</c:formatCode>
                <c:ptCount val="12"/>
                <c:pt idx="0">
                  <c:v>989.62406015037595</c:v>
                </c:pt>
                <c:pt idx="1">
                  <c:v>985.54054054054052</c:v>
                </c:pt>
                <c:pt idx="2">
                  <c:v>1010.7142857142857</c:v>
                </c:pt>
                <c:pt idx="3">
                  <c:v>1171.4285714285713</c:v>
                </c:pt>
                <c:pt idx="4">
                  <c:v>1248</c:v>
                </c:pt>
                <c:pt idx="5">
                  <c:v>1430</c:v>
                </c:pt>
                <c:pt idx="6">
                  <c:v>2350</c:v>
                </c:pt>
                <c:pt idx="7">
                  <c:v>2795.9183673469388</c:v>
                </c:pt>
                <c:pt idx="8">
                  <c:v>2795.9183673469388</c:v>
                </c:pt>
                <c:pt idx="9">
                  <c:v>1320</c:v>
                </c:pt>
                <c:pt idx="10">
                  <c:v>1074.5454545454545</c:v>
                </c:pt>
                <c:pt idx="11">
                  <c:v>1024.0366972477063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39-4E5A-9D4A-B3A44A0BCDC4}"/>
            </c:ext>
          </c:extLst>
        </c:ser>
        <c:ser>
          <c:idx val="0"/>
          <c:order val="3"/>
          <c:tx>
            <c:v>2025</c:v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관리비_Kenneth!$B$96:$B$107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관리비_Kenneth!$AL$96:$AL$107</c:f>
              <c:numCache>
                <c:formatCode>#,##0_);[Red]\(#,##0\)</c:formatCode>
                <c:ptCount val="12"/>
                <c:pt idx="0">
                  <c:v>1057.605633802817</c:v>
                </c:pt>
                <c:pt idx="1">
                  <c:v>1058.3505154639174</c:v>
                </c:pt>
                <c:pt idx="2">
                  <c:v>1067.9245283018868</c:v>
                </c:pt>
                <c:pt idx="3">
                  <c:v>1161.8181818181818</c:v>
                </c:pt>
                <c:pt idx="4">
                  <c:v>1031.6666666666667</c:v>
                </c:pt>
                <c:pt idx="5">
                  <c:v>2350</c:v>
                </c:pt>
                <c:pt idx="6">
                  <c:v>1370</c:v>
                </c:pt>
                <c:pt idx="7">
                  <c:v>1370</c:v>
                </c:pt>
                <c:pt idx="8">
                  <c:v>1370</c:v>
                </c:pt>
                <c:pt idx="9">
                  <c:v>1036.9230769230769</c:v>
                </c:pt>
                <c:pt idx="10">
                  <c:v>1064.909090909091</c:v>
                </c:pt>
                <c:pt idx="11">
                  <c:v>1055.6521739130435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39-4E5A-9D4A-B3A44A0BCDC4}"/>
            </c:ext>
          </c:extLst>
        </c:ser>
        <c:ser>
          <c:idx val="2"/>
          <c:order val="4"/>
          <c:tx>
            <c:v>2026</c:v>
          </c:tx>
          <c:spPr>
            <a:solidFill>
              <a:srgbClr val="FF0000"/>
            </a:solidFill>
            <a:ln>
              <a:noFill/>
            </a:ln>
          </c:spPr>
          <c:invertIfNegative val="0"/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관리비_Kenneth!$AL$108:$AL$119</c:f>
              <c:numCache>
                <c:formatCode>#,##0_);[Red]\(#,##0\)</c:formatCode>
                <c:ptCount val="12"/>
                <c:pt idx="0">
                  <c:v>1051.9685039370079</c:v>
                </c:pt>
                <c:pt idx="1">
                  <c:v>1060.3896103896104</c:v>
                </c:pt>
                <c:pt idx="2">
                  <c:v>1074.0425531914893</c:v>
                </c:pt>
                <c:pt idx="3">
                  <c:v>1166.3636363636363</c:v>
                </c:pt>
                <c:pt idx="4">
                  <c:v>1412</c:v>
                </c:pt>
                <c:pt idx="5">
                  <c:v>1985</c:v>
                </c:pt>
                <c:pt idx="6">
                  <c:v>1985</c:v>
                </c:pt>
                <c:pt idx="7">
                  <c:v>1985</c:v>
                </c:pt>
                <c:pt idx="8">
                  <c:v>1985</c:v>
                </c:pt>
                <c:pt idx="9">
                  <c:v>1985</c:v>
                </c:pt>
                <c:pt idx="10">
                  <c:v>1985</c:v>
                </c:pt>
                <c:pt idx="11">
                  <c:v>1010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39-4E5A-9D4A-B3A44A0BC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867848"/>
        <c:axId val="510876864"/>
      </c:barChart>
      <c:lineChart>
        <c:grouping val="standard"/>
        <c:varyColors val="0"/>
        <c:ser>
          <c:idx val="9"/>
          <c:order val="5"/>
          <c:tx>
            <c:v>2022선</c:v>
          </c:tx>
          <c:spPr>
            <a:ln w="15875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관리비_Kenneth!$AL$60:$AL$71</c:f>
              <c:numCache>
                <c:formatCode>#,##0_);[Red]\(#,##0\)</c:formatCode>
                <c:ptCount val="12"/>
                <c:pt idx="0">
                  <c:v>670.52631578947364</c:v>
                </c:pt>
                <c:pt idx="1">
                  <c:v>681.57407407407402</c:v>
                </c:pt>
                <c:pt idx="2">
                  <c:v>679.69696969696975</c:v>
                </c:pt>
                <c:pt idx="3">
                  <c:v>758.82352941176475</c:v>
                </c:pt>
                <c:pt idx="4">
                  <c:v>842.72727272727275</c:v>
                </c:pt>
                <c:pt idx="5">
                  <c:v>767.5</c:v>
                </c:pt>
                <c:pt idx="6">
                  <c:v>982.5</c:v>
                </c:pt>
                <c:pt idx="7">
                  <c:v>985</c:v>
                </c:pt>
                <c:pt idx="8">
                  <c:v>970</c:v>
                </c:pt>
                <c:pt idx="9">
                  <c:v>986.66666666666663</c:v>
                </c:pt>
                <c:pt idx="10">
                  <c:v>944.44444444444446</c:v>
                </c:pt>
                <c:pt idx="11">
                  <c:v>929.5454545454545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E39-4E5A-9D4A-B3A44A0BCDC4}"/>
            </c:ext>
          </c:extLst>
        </c:ser>
        <c:ser>
          <c:idx val="11"/>
          <c:order val="6"/>
          <c:tx>
            <c:v>2023선</c:v>
          </c:tx>
          <c:spPr>
            <a:ln w="158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관리비_Kenneth!$AL$72:$AL$83</c:f>
              <c:numCache>
                <c:formatCode>#,##0_);[Red]\(#,##0\)</c:formatCode>
                <c:ptCount val="12"/>
                <c:pt idx="0">
                  <c:v>939.80891719745227</c:v>
                </c:pt>
                <c:pt idx="1">
                  <c:v>934.48979591836735</c:v>
                </c:pt>
                <c:pt idx="2">
                  <c:v>940.22727272727275</c:v>
                </c:pt>
                <c:pt idx="3">
                  <c:v>968.88888888888891</c:v>
                </c:pt>
                <c:pt idx="4">
                  <c:v>1067.1428571428571</c:v>
                </c:pt>
                <c:pt idx="5">
                  <c:v>1175</c:v>
                </c:pt>
                <c:pt idx="6">
                  <c:v>1313.3333333333333</c:v>
                </c:pt>
                <c:pt idx="7">
                  <c:v>1480</c:v>
                </c:pt>
                <c:pt idx="8">
                  <c:v>1306.6666666666667</c:v>
                </c:pt>
                <c:pt idx="9">
                  <c:v>1064.5454545454545</c:v>
                </c:pt>
                <c:pt idx="10">
                  <c:v>988.27586206896547</c:v>
                </c:pt>
                <c:pt idx="11">
                  <c:v>1002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E39-4E5A-9D4A-B3A44A0BCDC4}"/>
            </c:ext>
          </c:extLst>
        </c:ser>
        <c:ser>
          <c:idx val="13"/>
          <c:order val="7"/>
          <c:tx>
            <c:v>2024선</c:v>
          </c:tx>
          <c:spPr>
            <a:ln w="15875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관리비_Kenneth!$AL$84:$AL$95</c:f>
              <c:numCache>
                <c:formatCode>#,##0_);[Red]\(#,##0\)</c:formatCode>
                <c:ptCount val="12"/>
                <c:pt idx="0">
                  <c:v>989.62406015037595</c:v>
                </c:pt>
                <c:pt idx="1">
                  <c:v>985.54054054054052</c:v>
                </c:pt>
                <c:pt idx="2">
                  <c:v>1010.7142857142857</c:v>
                </c:pt>
                <c:pt idx="3">
                  <c:v>1171.4285714285713</c:v>
                </c:pt>
                <c:pt idx="4">
                  <c:v>1248</c:v>
                </c:pt>
                <c:pt idx="5">
                  <c:v>1430</c:v>
                </c:pt>
                <c:pt idx="6">
                  <c:v>2350</c:v>
                </c:pt>
                <c:pt idx="7">
                  <c:v>2795.9183673469388</c:v>
                </c:pt>
                <c:pt idx="8">
                  <c:v>2795.9183673469388</c:v>
                </c:pt>
                <c:pt idx="9">
                  <c:v>1320</c:v>
                </c:pt>
                <c:pt idx="10">
                  <c:v>1074.5454545454545</c:v>
                </c:pt>
                <c:pt idx="11">
                  <c:v>1024.0366972477063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E39-4E5A-9D4A-B3A44A0BCDC4}"/>
            </c:ext>
          </c:extLst>
        </c:ser>
        <c:ser>
          <c:idx val="1"/>
          <c:order val="8"/>
          <c:tx>
            <c:v>2025선</c:v>
          </c:tx>
          <c:spPr>
            <a:ln w="25400">
              <a:solidFill>
                <a:srgbClr val="C00000">
                  <a:alpha val="50000"/>
                </a:srgbClr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관리비_Kenneth!$AL$96:$AL$107</c:f>
              <c:numCache>
                <c:formatCode>#,##0_);[Red]\(#,##0\)</c:formatCode>
                <c:ptCount val="12"/>
                <c:pt idx="0">
                  <c:v>1057.605633802817</c:v>
                </c:pt>
                <c:pt idx="1">
                  <c:v>1058.3505154639174</c:v>
                </c:pt>
                <c:pt idx="2">
                  <c:v>1067.9245283018868</c:v>
                </c:pt>
                <c:pt idx="3">
                  <c:v>1161.8181818181818</c:v>
                </c:pt>
                <c:pt idx="4">
                  <c:v>1031.6666666666667</c:v>
                </c:pt>
                <c:pt idx="5">
                  <c:v>2350</c:v>
                </c:pt>
                <c:pt idx="6">
                  <c:v>1370</c:v>
                </c:pt>
                <c:pt idx="7">
                  <c:v>1370</c:v>
                </c:pt>
                <c:pt idx="8">
                  <c:v>1370</c:v>
                </c:pt>
                <c:pt idx="9">
                  <c:v>1036.9230769230769</c:v>
                </c:pt>
                <c:pt idx="10">
                  <c:v>1064.909090909091</c:v>
                </c:pt>
                <c:pt idx="11">
                  <c:v>1055.6521739130435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E39-4E5A-9D4A-B3A44A0BCDC4}"/>
            </c:ext>
          </c:extLst>
        </c:ser>
        <c:ser>
          <c:idx val="3"/>
          <c:order val="9"/>
          <c:tx>
            <c:v>2026선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관리비_Kenneth!$B$108:$B$119</c:f>
              <c:strCache>
                <c:ptCount val="12"/>
                <c:pt idx="0">
                  <c:v>1월사용분</c:v>
                </c:pt>
                <c:pt idx="1">
                  <c:v>2월사용분</c:v>
                </c:pt>
                <c:pt idx="2">
                  <c:v>3월사용분</c:v>
                </c:pt>
                <c:pt idx="3">
                  <c:v>4월사용분</c:v>
                </c:pt>
                <c:pt idx="4">
                  <c:v>5월사용분</c:v>
                </c:pt>
                <c:pt idx="5">
                  <c:v>6월사용분</c:v>
                </c:pt>
                <c:pt idx="6">
                  <c:v>7월사용분</c:v>
                </c:pt>
                <c:pt idx="7">
                  <c:v>8월사용분</c:v>
                </c:pt>
                <c:pt idx="8">
                  <c:v>9월사용분</c:v>
                </c:pt>
                <c:pt idx="9">
                  <c:v>10월사용분</c:v>
                </c:pt>
                <c:pt idx="10">
                  <c:v>11월사용분</c:v>
                </c:pt>
                <c:pt idx="11">
                  <c:v>12월사용분</c:v>
                </c:pt>
              </c:strCache>
            </c:strRef>
          </c:cat>
          <c:val>
            <c:numRef>
              <c:f>관리비_Kenneth!$AL$108:$AL$119</c:f>
              <c:numCache>
                <c:formatCode>#,##0_);[Red]\(#,##0\)</c:formatCode>
                <c:ptCount val="12"/>
                <c:pt idx="0">
                  <c:v>1051.9685039370079</c:v>
                </c:pt>
                <c:pt idx="1">
                  <c:v>1060.3896103896104</c:v>
                </c:pt>
                <c:pt idx="2">
                  <c:v>1074.0425531914893</c:v>
                </c:pt>
                <c:pt idx="3">
                  <c:v>1166.3636363636363</c:v>
                </c:pt>
                <c:pt idx="4">
                  <c:v>1412</c:v>
                </c:pt>
                <c:pt idx="5">
                  <c:v>1985</c:v>
                </c:pt>
                <c:pt idx="6">
                  <c:v>1985</c:v>
                </c:pt>
                <c:pt idx="7">
                  <c:v>1985</c:v>
                </c:pt>
                <c:pt idx="8">
                  <c:v>1985</c:v>
                </c:pt>
                <c:pt idx="9">
                  <c:v>1985</c:v>
                </c:pt>
                <c:pt idx="10">
                  <c:v>1985</c:v>
                </c:pt>
                <c:pt idx="11">
                  <c:v>1010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E39-4E5A-9D4A-B3A44A0BC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867848"/>
        <c:axId val="510876864"/>
      </c:lineChart>
      <c:catAx>
        <c:axId val="51086784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>
            <a:solidFill>
              <a:sysClr val="window" lastClr="FFFFFF">
                <a:lumMod val="85000"/>
              </a:sysClr>
            </a:solidFill>
          </a:ln>
        </c:spPr>
        <c:txPr>
          <a:bodyPr/>
          <a:lstStyle/>
          <a:p>
            <a:pPr>
              <a:defRPr sz="7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10876864"/>
        <c:crosses val="autoZero"/>
        <c:auto val="1"/>
        <c:lblAlgn val="ctr"/>
        <c:lblOffset val="100"/>
        <c:tickMarkSkip val="1"/>
        <c:noMultiLvlLbl val="0"/>
      </c:catAx>
      <c:valAx>
        <c:axId val="510876864"/>
        <c:scaling>
          <c:orientation val="minMax"/>
          <c:max val="3000"/>
          <c:min val="500"/>
        </c:scaling>
        <c:delete val="0"/>
        <c:axPos val="l"/>
        <c:majorGridlines>
          <c:spPr>
            <a:ln>
              <a:solidFill>
                <a:sysClr val="window" lastClr="FFFFFF">
                  <a:lumMod val="85000"/>
                </a:sysClr>
              </a:solidFill>
            </a:ln>
          </c:spPr>
        </c:majorGridlines>
        <c:numFmt formatCode="_(* #,##0_);_(* \(#,##0\);_(* &quot;-&quot;_);_(@_)" sourceLinked="0"/>
        <c:majorTickMark val="none"/>
        <c:minorTickMark val="none"/>
        <c:tickLblPos val="high"/>
        <c:spPr>
          <a:ln>
            <a:solidFill>
              <a:sysClr val="window" lastClr="FFFFFF">
                <a:lumMod val="85000"/>
              </a:sys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ko-KR"/>
          </a:p>
        </c:txPr>
        <c:crossAx val="510867848"/>
        <c:crosses val="autoZero"/>
        <c:crossBetween val="between"/>
      </c:valAx>
    </c:plotArea>
    <c:legend>
      <c:legendPos val="t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4.3804531732077108E-2"/>
          <c:y val="0.19418522199145888"/>
          <c:w val="0.42750290701847571"/>
          <c:h val="7.8287521612732558E-2"/>
        </c:manualLayout>
      </c:layout>
      <c:overlay val="1"/>
      <c:txPr>
        <a:bodyPr/>
        <a:lstStyle/>
        <a:p>
          <a:pPr>
            <a:defRPr>
              <a:solidFill>
                <a:schemeClr val="tx1">
                  <a:lumMod val="50000"/>
                  <a:lumOff val="50000"/>
                </a:schemeClr>
              </a:solidFill>
            </a:defRPr>
          </a:pPr>
          <a:endParaRPr lang="ko-KR"/>
        </a:p>
      </c:txPr>
    </c:legend>
    <c:plotVisOnly val="0"/>
    <c:dispBlanksAs val="span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597667187475828E-2"/>
          <c:y val="2.183467881531316E-2"/>
          <c:w val="0.91423696301223645"/>
          <c:h val="0.82988753342995614"/>
        </c:manualLayout>
      </c:layout>
      <c:lineChart>
        <c:grouping val="standard"/>
        <c:varyColors val="0"/>
        <c:ser>
          <c:idx val="3"/>
          <c:order val="3"/>
          <c:tx>
            <c:strRef>
              <c:f>관리비_Kenneth!$F$55</c:f>
              <c:strCache>
                <c:ptCount val="1"/>
                <c:pt idx="0">
                  <c:v>경비비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관리비_Kenneth!$F$171:$F$183</c:f>
              <c:numCache>
                <c:formatCode>#,##0_);[Red]\(#,##0\)</c:formatCode>
                <c:ptCount val="13"/>
                <c:pt idx="0">
                  <c:v>26143.333333333332</c:v>
                </c:pt>
                <c:pt idx="1">
                  <c:v>29575.833333333332</c:v>
                </c:pt>
                <c:pt idx="2">
                  <c:v>30724.166666666668</c:v>
                </c:pt>
                <c:pt idx="3">
                  <c:v>31302.5</c:v>
                </c:pt>
                <c:pt idx="4">
                  <c:v>24542.5</c:v>
                </c:pt>
                <c:pt idx="5">
                  <c:v>28819.166666666668</c:v>
                </c:pt>
                <c:pt idx="6">
                  <c:v>27026.666666666668</c:v>
                </c:pt>
                <c:pt idx="7">
                  <c:v>24640.833333333332</c:v>
                </c:pt>
                <c:pt idx="8">
                  <c:v>25160</c:v>
                </c:pt>
                <c:pt idx="9">
                  <c:v>25863.333333333332</c:v>
                </c:pt>
                <c:pt idx="10">
                  <c:v>26183.333333333332</c:v>
                </c:pt>
                <c:pt idx="11">
                  <c:v>26512.5</c:v>
                </c:pt>
                <c:pt idx="12">
                  <c:v>26842.5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98-43AE-BC82-4EFAE6B8F279}"/>
            </c:ext>
          </c:extLst>
        </c:ser>
        <c:ser>
          <c:idx val="4"/>
          <c:order val="4"/>
          <c:tx>
            <c:strRef>
              <c:f>관리비_Kenneth!$G$55</c:f>
              <c:strCache>
                <c:ptCount val="1"/>
                <c:pt idx="0">
                  <c:v>청소비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관리비_Kenneth!$G$171:$G$183</c:f>
              <c:numCache>
                <c:formatCode>#,##0_);[Red]\(#,##0\)</c:formatCode>
                <c:ptCount val="13"/>
                <c:pt idx="0">
                  <c:v>8745.5555555555547</c:v>
                </c:pt>
                <c:pt idx="1">
                  <c:v>9941.6666666666661</c:v>
                </c:pt>
                <c:pt idx="2">
                  <c:v>10365</c:v>
                </c:pt>
                <c:pt idx="3">
                  <c:v>10794.166666666666</c:v>
                </c:pt>
                <c:pt idx="4">
                  <c:v>13281.666666666666</c:v>
                </c:pt>
                <c:pt idx="5">
                  <c:v>13006.666666666666</c:v>
                </c:pt>
                <c:pt idx="6">
                  <c:v>13005</c:v>
                </c:pt>
                <c:pt idx="7">
                  <c:v>13103.333333333334</c:v>
                </c:pt>
                <c:pt idx="8">
                  <c:v>13665.833333333334</c:v>
                </c:pt>
                <c:pt idx="9">
                  <c:v>13565.833333333334</c:v>
                </c:pt>
                <c:pt idx="10">
                  <c:v>13735.833333333334</c:v>
                </c:pt>
                <c:pt idx="11">
                  <c:v>13905.833333333334</c:v>
                </c:pt>
                <c:pt idx="12">
                  <c:v>14075.833333333334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98-43AE-BC82-4EFAE6B8F279}"/>
            </c:ext>
          </c:extLst>
        </c:ser>
        <c:ser>
          <c:idx val="6"/>
          <c:order val="6"/>
          <c:tx>
            <c:strRef>
              <c:f>관리비_Kenneth!$I$55</c:f>
              <c:strCache>
                <c:ptCount val="1"/>
                <c:pt idx="0">
                  <c:v>승강기유지비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관리비_Kenneth!$I$171:$I$183</c:f>
              <c:numCache>
                <c:formatCode>#,##0_);[Red]\(#,##0\)</c:formatCode>
                <c:ptCount val="13"/>
                <c:pt idx="0">
                  <c:v>4154.4444444444443</c:v>
                </c:pt>
                <c:pt idx="1">
                  <c:v>4143.333333333333</c:v>
                </c:pt>
                <c:pt idx="2">
                  <c:v>4129.166666666667</c:v>
                </c:pt>
                <c:pt idx="3">
                  <c:v>4108.333333333333</c:v>
                </c:pt>
                <c:pt idx="4">
                  <c:v>1330</c:v>
                </c:pt>
                <c:pt idx="5">
                  <c:v>1330</c:v>
                </c:pt>
                <c:pt idx="6">
                  <c:v>835</c:v>
                </c:pt>
                <c:pt idx="7">
                  <c:v>645</c:v>
                </c:pt>
                <c:pt idx="8">
                  <c:v>660.83333333333337</c:v>
                </c:pt>
                <c:pt idx="9">
                  <c:v>699.16666666666663</c:v>
                </c:pt>
                <c:pt idx="10">
                  <c:v>709.16666666666663</c:v>
                </c:pt>
                <c:pt idx="11">
                  <c:v>719.16666666666663</c:v>
                </c:pt>
                <c:pt idx="12">
                  <c:v>729.16666666666663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398-43AE-BC82-4EFAE6B8F279}"/>
            </c:ext>
          </c:extLst>
        </c:ser>
        <c:ser>
          <c:idx val="7"/>
          <c:order val="7"/>
          <c:tx>
            <c:strRef>
              <c:f>관리비_Kenneth!$J$55</c:f>
              <c:strCache>
                <c:ptCount val="1"/>
                <c:pt idx="0">
                  <c:v>수선유지비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관리비_Kenneth!$J$171:$J$183</c:f>
              <c:numCache>
                <c:formatCode>#,##0_);[Red]\(#,##0\)</c:formatCode>
                <c:ptCount val="13"/>
                <c:pt idx="0">
                  <c:v>9617.7777777777774</c:v>
                </c:pt>
                <c:pt idx="1">
                  <c:v>9610</c:v>
                </c:pt>
                <c:pt idx="2">
                  <c:v>9610</c:v>
                </c:pt>
                <c:pt idx="3">
                  <c:v>9610</c:v>
                </c:pt>
                <c:pt idx="4">
                  <c:v>4200.833333333333</c:v>
                </c:pt>
                <c:pt idx="5">
                  <c:v>2519.1666666666665</c:v>
                </c:pt>
                <c:pt idx="6">
                  <c:v>5558.333333333333</c:v>
                </c:pt>
                <c:pt idx="7">
                  <c:v>7167.5</c:v>
                </c:pt>
                <c:pt idx="8">
                  <c:v>5829.166666666667</c:v>
                </c:pt>
                <c:pt idx="9">
                  <c:v>7420</c:v>
                </c:pt>
                <c:pt idx="10">
                  <c:v>7642.6000000000013</c:v>
                </c:pt>
                <c:pt idx="11">
                  <c:v>7871.8779999999979</c:v>
                </c:pt>
                <c:pt idx="12">
                  <c:v>8108.0343399999992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398-43AE-BC82-4EFAE6B8F279}"/>
            </c:ext>
          </c:extLst>
        </c:ser>
        <c:ser>
          <c:idx val="9"/>
          <c:order val="9"/>
          <c:tx>
            <c:strRef>
              <c:f>관리비_Kenneth!$L$55</c:f>
              <c:strCache>
                <c:ptCount val="1"/>
                <c:pt idx="0">
                  <c:v>화재보험료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관리비_Kenneth!$L$171:$L$183</c:f>
              <c:numCache>
                <c:formatCode>#,##0_);[Red]\(#,##0\)</c:formatCode>
                <c:ptCount val="13"/>
                <c:pt idx="0">
                  <c:v>690</c:v>
                </c:pt>
                <c:pt idx="1">
                  <c:v>707.5</c:v>
                </c:pt>
                <c:pt idx="2">
                  <c:v>752.5</c:v>
                </c:pt>
                <c:pt idx="3">
                  <c:v>1674.1666666666667</c:v>
                </c:pt>
                <c:pt idx="4">
                  <c:v>1491.6666666666667</c:v>
                </c:pt>
                <c:pt idx="5">
                  <c:v>2413.3333333333335</c:v>
                </c:pt>
                <c:pt idx="6">
                  <c:v>2145.8333333333335</c:v>
                </c:pt>
                <c:pt idx="7">
                  <c:v>2743.3333333333335</c:v>
                </c:pt>
                <c:pt idx="8">
                  <c:v>2753.3333333333335</c:v>
                </c:pt>
                <c:pt idx="9">
                  <c:v>2540</c:v>
                </c:pt>
                <c:pt idx="10">
                  <c:v>2560</c:v>
                </c:pt>
                <c:pt idx="11">
                  <c:v>2580</c:v>
                </c:pt>
                <c:pt idx="12">
                  <c:v>2600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398-43AE-BC82-4EFAE6B8F279}"/>
            </c:ext>
          </c:extLst>
        </c:ser>
        <c:ser>
          <c:idx val="13"/>
          <c:order val="13"/>
          <c:tx>
            <c:strRef>
              <c:f>관리비_Kenneth!$P$55</c:f>
              <c:strCache>
                <c:ptCount val="1"/>
                <c:pt idx="0">
                  <c:v>전기료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관리비_Kenneth!$P$171:$P$183</c:f>
              <c:numCache>
                <c:formatCode>#,##0_);[Red]\(#,##0\)</c:formatCode>
                <c:ptCount val="13"/>
                <c:pt idx="0">
                  <c:v>17525.555555555555</c:v>
                </c:pt>
                <c:pt idx="1">
                  <c:v>15203.333333333334</c:v>
                </c:pt>
                <c:pt idx="2">
                  <c:v>17399.166666666668</c:v>
                </c:pt>
                <c:pt idx="3">
                  <c:v>15491.666666666666</c:v>
                </c:pt>
                <c:pt idx="4">
                  <c:v>30102.5</c:v>
                </c:pt>
                <c:pt idx="5">
                  <c:v>34621.666666666664</c:v>
                </c:pt>
                <c:pt idx="6">
                  <c:v>37097.5</c:v>
                </c:pt>
                <c:pt idx="7">
                  <c:v>39383.333333333336</c:v>
                </c:pt>
                <c:pt idx="8">
                  <c:v>34306.666666666664</c:v>
                </c:pt>
                <c:pt idx="9">
                  <c:v>40464.103018528767</c:v>
                </c:pt>
                <c:pt idx="10">
                  <c:v>40868.744048714048</c:v>
                </c:pt>
                <c:pt idx="11">
                  <c:v>41277.43148920119</c:v>
                </c:pt>
                <c:pt idx="12">
                  <c:v>41690.205804093202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398-43AE-BC82-4EFAE6B8F279}"/>
            </c:ext>
          </c:extLst>
        </c:ser>
        <c:ser>
          <c:idx val="14"/>
          <c:order val="14"/>
          <c:tx>
            <c:strRef>
              <c:f>관리비_Kenneth!$Q$55</c:f>
              <c:strCache>
                <c:ptCount val="1"/>
                <c:pt idx="0">
                  <c:v>공동전기료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관리비_Kenneth!$Q$171:$Q$183</c:f>
              <c:numCache>
                <c:formatCode>#,##0_);[Red]\(#,##0\)</c:formatCode>
                <c:ptCount val="13"/>
                <c:pt idx="0">
                  <c:v>1516.6666666666667</c:v>
                </c:pt>
                <c:pt idx="1">
                  <c:v>1446.6666666666667</c:v>
                </c:pt>
                <c:pt idx="2">
                  <c:v>1500.8333333333333</c:v>
                </c:pt>
                <c:pt idx="3">
                  <c:v>1530</c:v>
                </c:pt>
                <c:pt idx="4">
                  <c:v>10575.833333333334</c:v>
                </c:pt>
                <c:pt idx="5">
                  <c:v>13138.333333333334</c:v>
                </c:pt>
                <c:pt idx="6">
                  <c:v>16781.666666666668</c:v>
                </c:pt>
                <c:pt idx="7">
                  <c:v>18773.333333333332</c:v>
                </c:pt>
                <c:pt idx="8">
                  <c:v>18190</c:v>
                </c:pt>
                <c:pt idx="9">
                  <c:v>16880</c:v>
                </c:pt>
                <c:pt idx="10">
                  <c:v>17048.333333333332</c:v>
                </c:pt>
                <c:pt idx="11">
                  <c:v>17219.166666666668</c:v>
                </c:pt>
                <c:pt idx="12">
                  <c:v>17391.666666666668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398-43AE-BC82-4EFAE6B8F279}"/>
            </c:ext>
          </c:extLst>
        </c:ser>
        <c:ser>
          <c:idx val="15"/>
          <c:order val="15"/>
          <c:tx>
            <c:strRef>
              <c:f>관리비_Kenneth!$R$55</c:f>
              <c:strCache>
                <c:ptCount val="1"/>
                <c:pt idx="0">
                  <c:v>승강기전기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관리비_Kenneth!$R$171:$R$183</c:f>
              <c:numCache>
                <c:formatCode>#,##0_);[Red]\(#,##0\)</c:formatCode>
                <c:ptCount val="13"/>
                <c:pt idx="0">
                  <c:v>1272.2222222222222</c:v>
                </c:pt>
                <c:pt idx="1">
                  <c:v>1247.5</c:v>
                </c:pt>
                <c:pt idx="2">
                  <c:v>1193.3333333333333</c:v>
                </c:pt>
                <c:pt idx="3">
                  <c:v>1220</c:v>
                </c:pt>
                <c:pt idx="4">
                  <c:v>3345</c:v>
                </c:pt>
                <c:pt idx="5">
                  <c:v>3370</c:v>
                </c:pt>
                <c:pt idx="6">
                  <c:v>4653.333333333333</c:v>
                </c:pt>
                <c:pt idx="7">
                  <c:v>5950.833333333333</c:v>
                </c:pt>
                <c:pt idx="8">
                  <c:v>5765</c:v>
                </c:pt>
                <c:pt idx="9">
                  <c:v>6270</c:v>
                </c:pt>
                <c:pt idx="10">
                  <c:v>6320</c:v>
                </c:pt>
                <c:pt idx="11">
                  <c:v>6370</c:v>
                </c:pt>
                <c:pt idx="12">
                  <c:v>6420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398-43AE-BC82-4EFAE6B8F279}"/>
            </c:ext>
          </c:extLst>
        </c:ser>
        <c:ser>
          <c:idx val="18"/>
          <c:order val="18"/>
          <c:tx>
            <c:strRef>
              <c:f>관리비_Kenneth!$U$55</c:f>
              <c:strCache>
                <c:ptCount val="1"/>
                <c:pt idx="0">
                  <c:v>수도요금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관리비_Kenneth!$U$171:$U$183</c:f>
              <c:numCache>
                <c:formatCode>#,##0_);[Red]\(#,##0\)</c:formatCode>
                <c:ptCount val="13"/>
                <c:pt idx="0">
                  <c:v>8183.333333333333</c:v>
                </c:pt>
                <c:pt idx="1">
                  <c:v>5478.333333333333</c:v>
                </c:pt>
                <c:pt idx="2">
                  <c:v>9723.3333333333339</c:v>
                </c:pt>
                <c:pt idx="3">
                  <c:v>9504.1666666666661</c:v>
                </c:pt>
                <c:pt idx="4">
                  <c:v>9367.5</c:v>
                </c:pt>
                <c:pt idx="5">
                  <c:v>7829.166666666667</c:v>
                </c:pt>
                <c:pt idx="6">
                  <c:v>7762.5</c:v>
                </c:pt>
                <c:pt idx="7">
                  <c:v>7954.166666666667</c:v>
                </c:pt>
                <c:pt idx="8">
                  <c:v>7858.333333333333</c:v>
                </c:pt>
                <c:pt idx="9">
                  <c:v>8254.1666666666661</c:v>
                </c:pt>
                <c:pt idx="10">
                  <c:v>8324.1666666666661</c:v>
                </c:pt>
                <c:pt idx="11">
                  <c:v>8394.1666666666661</c:v>
                </c:pt>
                <c:pt idx="12">
                  <c:v>8464.1666666666661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398-43AE-BC82-4EFAE6B8F279}"/>
            </c:ext>
          </c:extLst>
        </c:ser>
        <c:ser>
          <c:idx val="19"/>
          <c:order val="19"/>
          <c:tx>
            <c:strRef>
              <c:f>관리비_Kenneth!$V$55</c:f>
              <c:strCache>
                <c:ptCount val="1"/>
                <c:pt idx="0">
                  <c:v>공동수도료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관리비_Kenneth!$V$171:$V$183</c:f>
              <c:numCache>
                <c:formatCode>#,##0_);[Red]\(#,##0\)</c:formatCode>
                <c:ptCount val="13"/>
                <c:pt idx="0">
                  <c:v>-860</c:v>
                </c:pt>
                <c:pt idx="1">
                  <c:v>-11.818181818181818</c:v>
                </c:pt>
                <c:pt idx="2">
                  <c:v>174.54545454545453</c:v>
                </c:pt>
                <c:pt idx="3">
                  <c:v>123.33333333333333</c:v>
                </c:pt>
                <c:pt idx="4">
                  <c:v>1306.6666666666667</c:v>
                </c:pt>
                <c:pt idx="5">
                  <c:v>1413.3333333333333</c:v>
                </c:pt>
                <c:pt idx="6">
                  <c:v>1471.6666666666667</c:v>
                </c:pt>
                <c:pt idx="7">
                  <c:v>1463.3333333333333</c:v>
                </c:pt>
                <c:pt idx="8">
                  <c:v>1930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398-43AE-BC82-4EFAE6B8F279}"/>
            </c:ext>
          </c:extLst>
        </c:ser>
        <c:ser>
          <c:idx val="20"/>
          <c:order val="20"/>
          <c:tx>
            <c:strRef>
              <c:f>관리비_Kenneth!$W$55</c:f>
              <c:strCache>
                <c:ptCount val="1"/>
                <c:pt idx="0">
                  <c:v>장기수선충당금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관리비_Kenneth!$W$171:$W$183</c:f>
              <c:numCache>
                <c:formatCode>#,##0_);[Red]\(#,##0\)</c:formatCode>
                <c:ptCount val="13"/>
                <c:pt idx="0">
                  <c:v>9607.9</c:v>
                </c:pt>
                <c:pt idx="1">
                  <c:v>12035</c:v>
                </c:pt>
                <c:pt idx="2">
                  <c:v>12170</c:v>
                </c:pt>
                <c:pt idx="3">
                  <c:v>19613.333333333332</c:v>
                </c:pt>
                <c:pt idx="4">
                  <c:v>12310</c:v>
                </c:pt>
                <c:pt idx="5">
                  <c:v>12310</c:v>
                </c:pt>
                <c:pt idx="6">
                  <c:v>16803.333333333332</c:v>
                </c:pt>
                <c:pt idx="7">
                  <c:v>19050</c:v>
                </c:pt>
                <c:pt idx="8">
                  <c:v>24343.333333333332</c:v>
                </c:pt>
                <c:pt idx="9">
                  <c:v>26990</c:v>
                </c:pt>
                <c:pt idx="10">
                  <c:v>26990</c:v>
                </c:pt>
                <c:pt idx="11">
                  <c:v>35730</c:v>
                </c:pt>
                <c:pt idx="12">
                  <c:v>35730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398-43AE-BC82-4EFAE6B8F279}"/>
            </c:ext>
          </c:extLst>
        </c:ser>
        <c:ser>
          <c:idx val="23"/>
          <c:order val="23"/>
          <c:tx>
            <c:strRef>
              <c:f>관리비_Kenneth!$Z$55</c:f>
              <c:strCache>
                <c:ptCount val="1"/>
                <c:pt idx="0">
                  <c:v>도시가스요금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관리비_Kenneth!$Z$171:$Z$183</c:f>
              <c:numCache>
                <c:formatCode>#,##0_);[Red]\(#,##0\)</c:formatCode>
                <c:ptCount val="13"/>
                <c:pt idx="0">
                  <c:v>2621.1111111111113</c:v>
                </c:pt>
                <c:pt idx="1">
                  <c:v>2228.3333333333335</c:v>
                </c:pt>
                <c:pt idx="2">
                  <c:v>3309.1666666666665</c:v>
                </c:pt>
                <c:pt idx="3">
                  <c:v>3119.1666666666665</c:v>
                </c:pt>
                <c:pt idx="4">
                  <c:v>30786.666666666668</c:v>
                </c:pt>
                <c:pt idx="5">
                  <c:v>46814.166666666664</c:v>
                </c:pt>
                <c:pt idx="6">
                  <c:v>31233.333333333332</c:v>
                </c:pt>
                <c:pt idx="7">
                  <c:v>43211.666666666664</c:v>
                </c:pt>
                <c:pt idx="8">
                  <c:v>44301.25</c:v>
                </c:pt>
                <c:pt idx="9">
                  <c:v>46726.666666666664</c:v>
                </c:pt>
                <c:pt idx="10">
                  <c:v>47185.833333333336</c:v>
                </c:pt>
                <c:pt idx="11">
                  <c:v>47645</c:v>
                </c:pt>
                <c:pt idx="12">
                  <c:v>48104.166666666664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398-43AE-BC82-4EFAE6B8F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781791"/>
        <c:axId val="1670787551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관리비_Kenneth!$H$55</c15:sqref>
                        </c15:formulaRef>
                      </c:ext>
                    </c:extLst>
                    <c:strCache>
                      <c:ptCount val="1"/>
                      <c:pt idx="0">
                        <c:v>소독비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관리비_Kenneth!$B$171:$B$183</c15:sqref>
                        </c15:formulaRef>
                      </c:ext>
                    </c:extLst>
                    <c:numCache>
                      <c:formatCode>yyyy</c:formatCode>
                      <c:ptCount val="13"/>
                      <c:pt idx="0">
                        <c:v>43465</c:v>
                      </c:pt>
                      <c:pt idx="1">
                        <c:v>43830</c:v>
                      </c:pt>
                      <c:pt idx="2">
                        <c:v>44196</c:v>
                      </c:pt>
                      <c:pt idx="3">
                        <c:v>44561</c:v>
                      </c:pt>
                      <c:pt idx="4">
                        <c:v>44926</c:v>
                      </c:pt>
                      <c:pt idx="5">
                        <c:v>45291</c:v>
                      </c:pt>
                      <c:pt idx="6">
                        <c:v>45657</c:v>
                      </c:pt>
                      <c:pt idx="7">
                        <c:v>46022</c:v>
                      </c:pt>
                      <c:pt idx="8">
                        <c:v>46387</c:v>
                      </c:pt>
                      <c:pt idx="9">
                        <c:v>46752</c:v>
                      </c:pt>
                      <c:pt idx="10">
                        <c:v>47118</c:v>
                      </c:pt>
                      <c:pt idx="11">
                        <c:v>47483</c:v>
                      </c:pt>
                      <c:pt idx="12">
                        <c:v>47848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관리비_Kenneth!$H$171:$H$183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620</c:v>
                      </c:pt>
                      <c:pt idx="1">
                        <c:v>620</c:v>
                      </c:pt>
                      <c:pt idx="2">
                        <c:v>650</c:v>
                      </c:pt>
                      <c:pt idx="3">
                        <c:v>660</c:v>
                      </c:pt>
                      <c:pt idx="4">
                        <c:v>706.66666666666663</c:v>
                      </c:pt>
                      <c:pt idx="5">
                        <c:v>450</c:v>
                      </c:pt>
                      <c:pt idx="6">
                        <c:v>457.5</c:v>
                      </c:pt>
                      <c:pt idx="7">
                        <c:v>488.33333333333331</c:v>
                      </c:pt>
                      <c:pt idx="8">
                        <c:v>470</c:v>
                      </c:pt>
                      <c:pt idx="9">
                        <c:v>520</c:v>
                      </c:pt>
                      <c:pt idx="10">
                        <c:v>530</c:v>
                      </c:pt>
                      <c:pt idx="11">
                        <c:v>540</c:v>
                      </c:pt>
                      <c:pt idx="12">
                        <c:v>550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0398-43AE-BC82-4EFAE6B8F27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관리비_Kenneth!$K$55</c15:sqref>
                        </c15:formulaRef>
                      </c:ext>
                    </c:extLst>
                    <c:strCache>
                      <c:ptCount val="1"/>
                      <c:pt idx="0">
                        <c:v>위탁관리비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관리비_Kenneth!$B$171:$B$183</c15:sqref>
                        </c15:formulaRef>
                      </c:ext>
                    </c:extLst>
                    <c:numCache>
                      <c:formatCode>yyyy</c:formatCode>
                      <c:ptCount val="13"/>
                      <c:pt idx="0">
                        <c:v>43465</c:v>
                      </c:pt>
                      <c:pt idx="1">
                        <c:v>43830</c:v>
                      </c:pt>
                      <c:pt idx="2">
                        <c:v>44196</c:v>
                      </c:pt>
                      <c:pt idx="3">
                        <c:v>44561</c:v>
                      </c:pt>
                      <c:pt idx="4">
                        <c:v>44926</c:v>
                      </c:pt>
                      <c:pt idx="5">
                        <c:v>45291</c:v>
                      </c:pt>
                      <c:pt idx="6">
                        <c:v>45657</c:v>
                      </c:pt>
                      <c:pt idx="7">
                        <c:v>46022</c:v>
                      </c:pt>
                      <c:pt idx="8">
                        <c:v>46387</c:v>
                      </c:pt>
                      <c:pt idx="9">
                        <c:v>46752</c:v>
                      </c:pt>
                      <c:pt idx="10">
                        <c:v>47118</c:v>
                      </c:pt>
                      <c:pt idx="11">
                        <c:v>47483</c:v>
                      </c:pt>
                      <c:pt idx="12">
                        <c:v>47848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관리비_Kenneth!$K$171:$K$183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490</c:v>
                      </c:pt>
                      <c:pt idx="1">
                        <c:v>490</c:v>
                      </c:pt>
                      <c:pt idx="2">
                        <c:v>490</c:v>
                      </c:pt>
                      <c:pt idx="3">
                        <c:v>490</c:v>
                      </c:pt>
                      <c:pt idx="4">
                        <c:v>540</c:v>
                      </c:pt>
                      <c:pt idx="5">
                        <c:v>525</c:v>
                      </c:pt>
                      <c:pt idx="6">
                        <c:v>408.33333333333331</c:v>
                      </c:pt>
                      <c:pt idx="7">
                        <c:v>410</c:v>
                      </c:pt>
                      <c:pt idx="8">
                        <c:v>418.33333333333331</c:v>
                      </c:pt>
                      <c:pt idx="9">
                        <c:v>439.16666666666669</c:v>
                      </c:pt>
                      <c:pt idx="10">
                        <c:v>449.16666666666669</c:v>
                      </c:pt>
                      <c:pt idx="11">
                        <c:v>459.16666666666669</c:v>
                      </c:pt>
                      <c:pt idx="12">
                        <c:v>469.16666666666669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398-43AE-BC82-4EFAE6B8F279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관리비_Kenneth!$M$55</c15:sqref>
                        </c15:formulaRef>
                      </c:ext>
                    </c:extLst>
                    <c:strCache>
                      <c:ptCount val="1"/>
                      <c:pt idx="0">
                        <c:v>선관위운영비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관리비_Kenneth!$B$171:$B$183</c15:sqref>
                        </c15:formulaRef>
                      </c:ext>
                    </c:extLst>
                    <c:numCache>
                      <c:formatCode>yyyy</c:formatCode>
                      <c:ptCount val="13"/>
                      <c:pt idx="0">
                        <c:v>43465</c:v>
                      </c:pt>
                      <c:pt idx="1">
                        <c:v>43830</c:v>
                      </c:pt>
                      <c:pt idx="2">
                        <c:v>44196</c:v>
                      </c:pt>
                      <c:pt idx="3">
                        <c:v>44561</c:v>
                      </c:pt>
                      <c:pt idx="4">
                        <c:v>44926</c:v>
                      </c:pt>
                      <c:pt idx="5">
                        <c:v>45291</c:v>
                      </c:pt>
                      <c:pt idx="6">
                        <c:v>45657</c:v>
                      </c:pt>
                      <c:pt idx="7">
                        <c:v>46022</c:v>
                      </c:pt>
                      <c:pt idx="8">
                        <c:v>46387</c:v>
                      </c:pt>
                      <c:pt idx="9">
                        <c:v>46752</c:v>
                      </c:pt>
                      <c:pt idx="10">
                        <c:v>47118</c:v>
                      </c:pt>
                      <c:pt idx="11">
                        <c:v>47483</c:v>
                      </c:pt>
                      <c:pt idx="12">
                        <c:v>47848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관리비_Kenneth!$M$171:$M$183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103.33333333333333</c:v>
                      </c:pt>
                      <c:pt idx="5">
                        <c:v>90.833333333333329</c:v>
                      </c:pt>
                      <c:pt idx="6">
                        <c:v>90</c:v>
                      </c:pt>
                      <c:pt idx="7">
                        <c:v>176.66666666666666</c:v>
                      </c:pt>
                      <c:pt idx="8">
                        <c:v>445</c:v>
                      </c:pt>
                      <c:pt idx="9">
                        <c:v>390</c:v>
                      </c:pt>
                      <c:pt idx="10">
                        <c:v>390</c:v>
                      </c:pt>
                      <c:pt idx="11">
                        <c:v>390</c:v>
                      </c:pt>
                      <c:pt idx="12">
                        <c:v>390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398-43AE-BC82-4EFAE6B8F279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관리비_Kenneth!$N$55</c15:sqref>
                        </c15:formulaRef>
                      </c:ext>
                    </c:extLst>
                    <c:strCache>
                      <c:ptCount val="1"/>
                      <c:pt idx="0">
                        <c:v>하수처리시설료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관리비_Kenneth!$B$171:$B$183</c15:sqref>
                        </c15:formulaRef>
                      </c:ext>
                    </c:extLst>
                    <c:numCache>
                      <c:formatCode>yyyy</c:formatCode>
                      <c:ptCount val="13"/>
                      <c:pt idx="0">
                        <c:v>43465</c:v>
                      </c:pt>
                      <c:pt idx="1">
                        <c:v>43830</c:v>
                      </c:pt>
                      <c:pt idx="2">
                        <c:v>44196</c:v>
                      </c:pt>
                      <c:pt idx="3">
                        <c:v>44561</c:v>
                      </c:pt>
                      <c:pt idx="4">
                        <c:v>44926</c:v>
                      </c:pt>
                      <c:pt idx="5">
                        <c:v>45291</c:v>
                      </c:pt>
                      <c:pt idx="6">
                        <c:v>45657</c:v>
                      </c:pt>
                      <c:pt idx="7">
                        <c:v>46022</c:v>
                      </c:pt>
                      <c:pt idx="8">
                        <c:v>46387</c:v>
                      </c:pt>
                      <c:pt idx="9">
                        <c:v>46752</c:v>
                      </c:pt>
                      <c:pt idx="10">
                        <c:v>47118</c:v>
                      </c:pt>
                      <c:pt idx="11">
                        <c:v>47483</c:v>
                      </c:pt>
                      <c:pt idx="12">
                        <c:v>47848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관리비_Kenneth!$N$171:$N$183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4">
                        <c:v>251.66666666666666</c:v>
                      </c:pt>
                      <c:pt idx="5">
                        <c:v>260</c:v>
                      </c:pt>
                      <c:pt idx="6">
                        <c:v>253.33333333333334</c:v>
                      </c:pt>
                      <c:pt idx="7">
                        <c:v>290</c:v>
                      </c:pt>
                      <c:pt idx="8">
                        <c:v>290</c:v>
                      </c:pt>
                      <c:pt idx="9">
                        <c:v>290</c:v>
                      </c:pt>
                      <c:pt idx="10">
                        <c:v>290</c:v>
                      </c:pt>
                      <c:pt idx="11">
                        <c:v>290</c:v>
                      </c:pt>
                      <c:pt idx="12">
                        <c:v>290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398-43AE-BC82-4EFAE6B8F279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관리비_Kenneth!$O$55</c15:sqref>
                        </c15:formulaRef>
                      </c:ext>
                    </c:extLst>
                    <c:strCache>
                      <c:ptCount val="1"/>
                      <c:pt idx="0">
                        <c:v>대표회의운영비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관리비_Kenneth!$B$171:$B$183</c15:sqref>
                        </c15:formulaRef>
                      </c:ext>
                    </c:extLst>
                    <c:numCache>
                      <c:formatCode>yyyy</c:formatCode>
                      <c:ptCount val="13"/>
                      <c:pt idx="0">
                        <c:v>43465</c:v>
                      </c:pt>
                      <c:pt idx="1">
                        <c:v>43830</c:v>
                      </c:pt>
                      <c:pt idx="2">
                        <c:v>44196</c:v>
                      </c:pt>
                      <c:pt idx="3">
                        <c:v>44561</c:v>
                      </c:pt>
                      <c:pt idx="4">
                        <c:v>44926</c:v>
                      </c:pt>
                      <c:pt idx="5">
                        <c:v>45291</c:v>
                      </c:pt>
                      <c:pt idx="6">
                        <c:v>45657</c:v>
                      </c:pt>
                      <c:pt idx="7">
                        <c:v>46022</c:v>
                      </c:pt>
                      <c:pt idx="8">
                        <c:v>46387</c:v>
                      </c:pt>
                      <c:pt idx="9">
                        <c:v>46752</c:v>
                      </c:pt>
                      <c:pt idx="10">
                        <c:v>47118</c:v>
                      </c:pt>
                      <c:pt idx="11">
                        <c:v>47483</c:v>
                      </c:pt>
                      <c:pt idx="12">
                        <c:v>47848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관리비_Kenneth!$O$171:$O$183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1280</c:v>
                      </c:pt>
                      <c:pt idx="1">
                        <c:v>1280</c:v>
                      </c:pt>
                      <c:pt idx="2">
                        <c:v>1280</c:v>
                      </c:pt>
                      <c:pt idx="3">
                        <c:v>1280</c:v>
                      </c:pt>
                      <c:pt idx="4">
                        <c:v>819.16666666666663</c:v>
                      </c:pt>
                      <c:pt idx="5">
                        <c:v>794.16666666666663</c:v>
                      </c:pt>
                      <c:pt idx="6">
                        <c:v>1073.3333333333333</c:v>
                      </c:pt>
                      <c:pt idx="7">
                        <c:v>1053.3333333333333</c:v>
                      </c:pt>
                      <c:pt idx="8">
                        <c:v>1240</c:v>
                      </c:pt>
                      <c:pt idx="9">
                        <c:v>1370</c:v>
                      </c:pt>
                      <c:pt idx="10">
                        <c:v>1380</c:v>
                      </c:pt>
                      <c:pt idx="11">
                        <c:v>1390</c:v>
                      </c:pt>
                      <c:pt idx="12">
                        <c:v>1400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398-43AE-BC82-4EFAE6B8F279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관리비_Kenneth!$S$55</c15:sqref>
                        </c15:formulaRef>
                      </c:ext>
                    </c:extLst>
                    <c:strCache>
                      <c:ptCount val="1"/>
                      <c:pt idx="0">
                        <c:v>TV수신료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관리비_Kenneth!$B$171:$B$183</c15:sqref>
                        </c15:formulaRef>
                      </c:ext>
                    </c:extLst>
                    <c:numCache>
                      <c:formatCode>yyyy</c:formatCode>
                      <c:ptCount val="13"/>
                      <c:pt idx="0">
                        <c:v>43465</c:v>
                      </c:pt>
                      <c:pt idx="1">
                        <c:v>43830</c:v>
                      </c:pt>
                      <c:pt idx="2">
                        <c:v>44196</c:v>
                      </c:pt>
                      <c:pt idx="3">
                        <c:v>44561</c:v>
                      </c:pt>
                      <c:pt idx="4">
                        <c:v>44926</c:v>
                      </c:pt>
                      <c:pt idx="5">
                        <c:v>45291</c:v>
                      </c:pt>
                      <c:pt idx="6">
                        <c:v>45657</c:v>
                      </c:pt>
                      <c:pt idx="7">
                        <c:v>46022</c:v>
                      </c:pt>
                      <c:pt idx="8">
                        <c:v>46387</c:v>
                      </c:pt>
                      <c:pt idx="9">
                        <c:v>46752</c:v>
                      </c:pt>
                      <c:pt idx="10">
                        <c:v>47118</c:v>
                      </c:pt>
                      <c:pt idx="11">
                        <c:v>47483</c:v>
                      </c:pt>
                      <c:pt idx="12">
                        <c:v>47848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관리비_Kenneth!$S$171:$S$183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2500</c:v>
                      </c:pt>
                      <c:pt idx="1">
                        <c:v>2500</c:v>
                      </c:pt>
                      <c:pt idx="2">
                        <c:v>2500</c:v>
                      </c:pt>
                      <c:pt idx="4">
                        <c:v>2500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398-43AE-BC82-4EFAE6B8F279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관리비_Kenneth!$T$55</c15:sqref>
                        </c15:formulaRef>
                      </c:ext>
                    </c:extLst>
                    <c:strCache>
                      <c:ptCount val="1"/>
                      <c:pt idx="0">
                        <c:v>일자리지원차감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관리비_Kenneth!$B$171:$B$183</c15:sqref>
                        </c15:formulaRef>
                      </c:ext>
                    </c:extLst>
                    <c:numCache>
                      <c:formatCode>yyyy</c:formatCode>
                      <c:ptCount val="13"/>
                      <c:pt idx="0">
                        <c:v>43465</c:v>
                      </c:pt>
                      <c:pt idx="1">
                        <c:v>43830</c:v>
                      </c:pt>
                      <c:pt idx="2">
                        <c:v>44196</c:v>
                      </c:pt>
                      <c:pt idx="3">
                        <c:v>44561</c:v>
                      </c:pt>
                      <c:pt idx="4">
                        <c:v>44926</c:v>
                      </c:pt>
                      <c:pt idx="5">
                        <c:v>45291</c:v>
                      </c:pt>
                      <c:pt idx="6">
                        <c:v>45657</c:v>
                      </c:pt>
                      <c:pt idx="7">
                        <c:v>46022</c:v>
                      </c:pt>
                      <c:pt idx="8">
                        <c:v>46387</c:v>
                      </c:pt>
                      <c:pt idx="9">
                        <c:v>46752</c:v>
                      </c:pt>
                      <c:pt idx="10">
                        <c:v>47118</c:v>
                      </c:pt>
                      <c:pt idx="11">
                        <c:v>47483</c:v>
                      </c:pt>
                      <c:pt idx="12">
                        <c:v>47848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관리비_Kenneth!$T$171:$T$183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-3073.75</c:v>
                      </c:pt>
                      <c:pt idx="1">
                        <c:v>-2606.3636363636365</c:v>
                      </c:pt>
                      <c:pt idx="2">
                        <c:v>-2226.6666666666665</c:v>
                      </c:pt>
                      <c:pt idx="3">
                        <c:v>-867.5</c:v>
                      </c:pt>
                      <c:pt idx="4">
                        <c:v>-111.66666666666667</c:v>
                      </c:pt>
                      <c:pt idx="5">
                        <c:v>13.333333333333334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398-43AE-BC82-4EFAE6B8F279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관리비_Kenneth!$X$55</c15:sqref>
                        </c15:formulaRef>
                      </c:ext>
                    </c:extLst>
                    <c:strCache>
                      <c:ptCount val="1"/>
                      <c:pt idx="0">
                        <c:v>커뮤니티운영비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관리비_Kenneth!$B$171:$B$183</c15:sqref>
                        </c15:formulaRef>
                      </c:ext>
                    </c:extLst>
                    <c:numCache>
                      <c:formatCode>yyyy</c:formatCode>
                      <c:ptCount val="13"/>
                      <c:pt idx="0">
                        <c:v>43465</c:v>
                      </c:pt>
                      <c:pt idx="1">
                        <c:v>43830</c:v>
                      </c:pt>
                      <c:pt idx="2">
                        <c:v>44196</c:v>
                      </c:pt>
                      <c:pt idx="3">
                        <c:v>44561</c:v>
                      </c:pt>
                      <c:pt idx="4">
                        <c:v>44926</c:v>
                      </c:pt>
                      <c:pt idx="5">
                        <c:v>45291</c:v>
                      </c:pt>
                      <c:pt idx="6">
                        <c:v>45657</c:v>
                      </c:pt>
                      <c:pt idx="7">
                        <c:v>46022</c:v>
                      </c:pt>
                      <c:pt idx="8">
                        <c:v>46387</c:v>
                      </c:pt>
                      <c:pt idx="9">
                        <c:v>46752</c:v>
                      </c:pt>
                      <c:pt idx="10">
                        <c:v>47118</c:v>
                      </c:pt>
                      <c:pt idx="11">
                        <c:v>47483</c:v>
                      </c:pt>
                      <c:pt idx="12">
                        <c:v>47848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관리비_Kenneth!$X$171:$X$183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4">
                        <c:v>3000</c:v>
                      </c:pt>
                      <c:pt idx="5">
                        <c:v>3000</c:v>
                      </c:pt>
                      <c:pt idx="6">
                        <c:v>3000</c:v>
                      </c:pt>
                      <c:pt idx="7">
                        <c:v>3000</c:v>
                      </c:pt>
                      <c:pt idx="8">
                        <c:v>3000</c:v>
                      </c:pt>
                      <c:pt idx="9">
                        <c:v>3000</c:v>
                      </c:pt>
                      <c:pt idx="10">
                        <c:v>3000</c:v>
                      </c:pt>
                      <c:pt idx="11">
                        <c:v>3000</c:v>
                      </c:pt>
                      <c:pt idx="12">
                        <c:v>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398-43AE-BC82-4EFAE6B8F279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관리비_Kenneth!$Y$55</c15:sqref>
                        </c15:formulaRef>
                      </c:ext>
                    </c:extLst>
                    <c:strCache>
                      <c:ptCount val="1"/>
                      <c:pt idx="0">
                        <c:v>음식물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관리비_Kenneth!$B$171:$B$183</c15:sqref>
                        </c15:formulaRef>
                      </c:ext>
                    </c:extLst>
                    <c:numCache>
                      <c:formatCode>yyyy</c:formatCode>
                      <c:ptCount val="13"/>
                      <c:pt idx="0">
                        <c:v>43465</c:v>
                      </c:pt>
                      <c:pt idx="1">
                        <c:v>43830</c:v>
                      </c:pt>
                      <c:pt idx="2">
                        <c:v>44196</c:v>
                      </c:pt>
                      <c:pt idx="3">
                        <c:v>44561</c:v>
                      </c:pt>
                      <c:pt idx="4">
                        <c:v>44926</c:v>
                      </c:pt>
                      <c:pt idx="5">
                        <c:v>45291</c:v>
                      </c:pt>
                      <c:pt idx="6">
                        <c:v>45657</c:v>
                      </c:pt>
                      <c:pt idx="7">
                        <c:v>46022</c:v>
                      </c:pt>
                      <c:pt idx="8">
                        <c:v>46387</c:v>
                      </c:pt>
                      <c:pt idx="9">
                        <c:v>46752</c:v>
                      </c:pt>
                      <c:pt idx="10">
                        <c:v>47118</c:v>
                      </c:pt>
                      <c:pt idx="11">
                        <c:v>47483</c:v>
                      </c:pt>
                      <c:pt idx="12">
                        <c:v>47848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관리비_Kenneth!$Y$171:$Y$183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4">
                        <c:v>460</c:v>
                      </c:pt>
                      <c:pt idx="5">
                        <c:v>155.83333333333334</c:v>
                      </c:pt>
                      <c:pt idx="6">
                        <c:v>141.66666666666666</c:v>
                      </c:pt>
                      <c:pt idx="7">
                        <c:v>136.66666666666666</c:v>
                      </c:pt>
                      <c:pt idx="8">
                        <c:v>156.25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398-43AE-BC82-4EFAE6B8F27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관리비_Kenneth!$C$55</c:f>
              <c:strCache>
                <c:ptCount val="1"/>
                <c:pt idx="0">
                  <c:v>합계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관리비_Kenneth!$C$171:$C$183</c:f>
              <c:numCache>
                <c:formatCode>#,##0_);[Red]\(#,##0\)</c:formatCode>
                <c:ptCount val="13"/>
                <c:pt idx="0">
                  <c:v>147950</c:v>
                </c:pt>
                <c:pt idx="1">
                  <c:v>165071.66666666666</c:v>
                </c:pt>
                <c:pt idx="2">
                  <c:v>172613.33333333334</c:v>
                </c:pt>
                <c:pt idx="3">
                  <c:v>172281.66666666666</c:v>
                </c:pt>
                <c:pt idx="4">
                  <c:v>175197.5</c:v>
                </c:pt>
                <c:pt idx="5">
                  <c:v>199500</c:v>
                </c:pt>
                <c:pt idx="6">
                  <c:v>198639.16666666666</c:v>
                </c:pt>
                <c:pt idx="7">
                  <c:v>221108.33333333334</c:v>
                </c:pt>
                <c:pt idx="8">
                  <c:v>225138.75</c:v>
                </c:pt>
                <c:pt idx="9">
                  <c:v>239349.16666666666</c:v>
                </c:pt>
                <c:pt idx="10">
                  <c:v>241724.16666666666</c:v>
                </c:pt>
                <c:pt idx="11">
                  <c:v>252867.5</c:v>
                </c:pt>
                <c:pt idx="12">
                  <c:v>255287.5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398-43AE-BC82-4EFAE6B8F279}"/>
            </c:ext>
          </c:extLst>
        </c:ser>
        <c:ser>
          <c:idx val="2"/>
          <c:order val="2"/>
          <c:tx>
            <c:strRef>
              <c:f>관리비_Kenneth!$E$55</c:f>
              <c:strCache>
                <c:ptCount val="1"/>
                <c:pt idx="0">
                  <c:v>일반관리비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관리비_Kenneth!$B$171:$B$183</c:f>
              <c:numCache>
                <c:formatCode>yyyy</c:formatCode>
                <c:ptCount val="13"/>
                <c:pt idx="0">
                  <c:v>43465</c:v>
                </c:pt>
                <c:pt idx="1">
                  <c:v>43830</c:v>
                </c:pt>
                <c:pt idx="2">
                  <c:v>44196</c:v>
                </c:pt>
                <c:pt idx="3">
                  <c:v>44561</c:v>
                </c:pt>
                <c:pt idx="4">
                  <c:v>44926</c:v>
                </c:pt>
                <c:pt idx="5">
                  <c:v>45291</c:v>
                </c:pt>
                <c:pt idx="6">
                  <c:v>45657</c:v>
                </c:pt>
                <c:pt idx="7">
                  <c:v>46022</c:v>
                </c:pt>
                <c:pt idx="8">
                  <c:v>46387</c:v>
                </c:pt>
                <c:pt idx="9">
                  <c:v>46752</c:v>
                </c:pt>
                <c:pt idx="10">
                  <c:v>47118</c:v>
                </c:pt>
                <c:pt idx="11">
                  <c:v>47483</c:v>
                </c:pt>
                <c:pt idx="12">
                  <c:v>47848</c:v>
                </c:pt>
              </c:numCache>
            </c:numRef>
          </c:cat>
          <c:val>
            <c:numRef>
              <c:f>관리비_Kenneth!$E$171:$E$183</c:f>
              <c:numCache>
                <c:formatCode>#,##0_);[Red]\(#,##0\)</c:formatCode>
                <c:ptCount val="13"/>
                <c:pt idx="0">
                  <c:v>33540.666666666664</c:v>
                </c:pt>
                <c:pt idx="1">
                  <c:v>33627.5</c:v>
                </c:pt>
                <c:pt idx="2">
                  <c:v>34915</c:v>
                </c:pt>
                <c:pt idx="3">
                  <c:v>36816.666666666664</c:v>
                </c:pt>
                <c:pt idx="4">
                  <c:v>26370.833333333332</c:v>
                </c:pt>
                <c:pt idx="5">
                  <c:v>26625.833333333332</c:v>
                </c:pt>
                <c:pt idx="6">
                  <c:v>28840.833333333332</c:v>
                </c:pt>
                <c:pt idx="7">
                  <c:v>31466.666666666668</c:v>
                </c:pt>
                <c:pt idx="8">
                  <c:v>34357.5</c:v>
                </c:pt>
                <c:pt idx="9">
                  <c:v>35977.572916666664</c:v>
                </c:pt>
                <c:pt idx="10">
                  <c:v>36427.292578124987</c:v>
                </c:pt>
                <c:pt idx="11">
                  <c:v>36882.633735351563</c:v>
                </c:pt>
                <c:pt idx="12">
                  <c:v>37343.666657043446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398-43AE-BC82-4EFAE6B8F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259247"/>
        <c:axId val="199426500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관리비_Kenneth!$D$55</c15:sqref>
                        </c15:formulaRef>
                      </c:ext>
                    </c:extLst>
                    <c:strCache>
                      <c:ptCount val="1"/>
                      <c:pt idx="0">
                        <c:v>관리비 합계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관리비_Kenneth!$B$171:$B$183</c15:sqref>
                        </c15:formulaRef>
                      </c:ext>
                    </c:extLst>
                    <c:numCache>
                      <c:formatCode>yyyy</c:formatCode>
                      <c:ptCount val="13"/>
                      <c:pt idx="0">
                        <c:v>43465</c:v>
                      </c:pt>
                      <c:pt idx="1">
                        <c:v>43830</c:v>
                      </c:pt>
                      <c:pt idx="2">
                        <c:v>44196</c:v>
                      </c:pt>
                      <c:pt idx="3">
                        <c:v>44561</c:v>
                      </c:pt>
                      <c:pt idx="4">
                        <c:v>44926</c:v>
                      </c:pt>
                      <c:pt idx="5">
                        <c:v>45291</c:v>
                      </c:pt>
                      <c:pt idx="6">
                        <c:v>45657</c:v>
                      </c:pt>
                      <c:pt idx="7">
                        <c:v>46022</c:v>
                      </c:pt>
                      <c:pt idx="8">
                        <c:v>46387</c:v>
                      </c:pt>
                      <c:pt idx="9">
                        <c:v>46752</c:v>
                      </c:pt>
                      <c:pt idx="10">
                        <c:v>47118</c:v>
                      </c:pt>
                      <c:pt idx="11">
                        <c:v>47483</c:v>
                      </c:pt>
                      <c:pt idx="12">
                        <c:v>47848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관리비_Kenneth!$D$171:$D$183</c15:sqref>
                        </c15:formulaRef>
                      </c:ext>
                    </c:extLst>
                    <c:numCache>
                      <c:formatCode>#,##0_);[Red]\(#,##0\)</c:formatCode>
                      <c:ptCount val="13"/>
                      <c:pt idx="0">
                        <c:v>145328.88888888888</c:v>
                      </c:pt>
                      <c:pt idx="1">
                        <c:v>162843.33333333334</c:v>
                      </c:pt>
                      <c:pt idx="2">
                        <c:v>169304.16666666666</c:v>
                      </c:pt>
                      <c:pt idx="3">
                        <c:v>169162.5</c:v>
                      </c:pt>
                      <c:pt idx="4">
                        <c:v>144410.83333333334</c:v>
                      </c:pt>
                      <c:pt idx="5">
                        <c:v>152685.83333333334</c:v>
                      </c:pt>
                      <c:pt idx="6">
                        <c:v>167405.83333333334</c:v>
                      </c:pt>
                      <c:pt idx="7">
                        <c:v>177896.66666666666</c:v>
                      </c:pt>
                      <c:pt idx="8">
                        <c:v>180837.5</c:v>
                      </c:pt>
                      <c:pt idx="9">
                        <c:v>192622.5</c:v>
                      </c:pt>
                      <c:pt idx="10">
                        <c:v>194538.33333333334</c:v>
                      </c:pt>
                      <c:pt idx="11">
                        <c:v>205222.5</c:v>
                      </c:pt>
                      <c:pt idx="12">
                        <c:v>207183.33333333334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0398-43AE-BC82-4EFAE6B8F279}"/>
                  </c:ext>
                </c:extLst>
              </c15:ser>
            </c15:filteredLineSeries>
          </c:ext>
        </c:extLst>
      </c:lineChart>
      <c:dateAx>
        <c:axId val="167078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0787551"/>
        <c:crosses val="autoZero"/>
        <c:auto val="1"/>
        <c:lblOffset val="100"/>
        <c:baseTimeUnit val="years"/>
      </c:dateAx>
      <c:valAx>
        <c:axId val="167078755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0781791"/>
        <c:crosses val="autoZero"/>
        <c:crossBetween val="midCat"/>
        <c:dispUnits>
          <c:builtInUnit val="tenThousands"/>
        </c:dispUnits>
      </c:valAx>
      <c:valAx>
        <c:axId val="1994265007"/>
        <c:scaling>
          <c:orientation val="minMax"/>
          <c:max val="260000"/>
          <c:min val="0"/>
        </c:scaling>
        <c:delete val="0"/>
        <c:axPos val="l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4259247"/>
        <c:crosses val="autoZero"/>
        <c:crossBetween val="between"/>
        <c:dispUnits>
          <c:builtInUnit val="tenThousands"/>
        </c:dispUnits>
      </c:valAx>
      <c:dateAx>
        <c:axId val="1994259247"/>
        <c:scaling>
          <c:orientation val="minMax"/>
        </c:scaling>
        <c:delete val="1"/>
        <c:axPos val="b"/>
        <c:numFmt formatCode="yyyy" sourceLinked="1"/>
        <c:majorTickMark val="out"/>
        <c:minorTickMark val="none"/>
        <c:tickLblPos val="nextTo"/>
        <c:crossAx val="1994265007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6217328731954898E-3"/>
          <c:y val="0.89753947891340491"/>
          <c:w val="0.97222222222222221"/>
          <c:h val="0.100889998716459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6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4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357146</xdr:colOff>
      <xdr:row>197</xdr:row>
      <xdr:rowOff>83128</xdr:rowOff>
    </xdr:from>
    <xdr:to>
      <xdr:col>42</xdr:col>
      <xdr:colOff>0</xdr:colOff>
      <xdr:row>227</xdr:row>
      <xdr:rowOff>119062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9EC3C41-4B6B-4436-9EAB-1132EFFF9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115043</xdr:colOff>
      <xdr:row>197</xdr:row>
      <xdr:rowOff>142872</xdr:rowOff>
    </xdr:from>
    <xdr:to>
      <xdr:col>25</xdr:col>
      <xdr:colOff>415638</xdr:colOff>
      <xdr:row>218</xdr:row>
      <xdr:rowOff>121227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DFC0FF5-9E70-49AA-9916-CE4EE22E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13606</xdr:colOff>
      <xdr:row>228</xdr:row>
      <xdr:rowOff>87924</xdr:rowOff>
    </xdr:from>
    <xdr:to>
      <xdr:col>16</xdr:col>
      <xdr:colOff>197827</xdr:colOff>
      <xdr:row>257</xdr:row>
      <xdr:rowOff>69273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10211E8-DB03-4853-9125-A25FA5491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87829</xdr:colOff>
      <xdr:row>218</xdr:row>
      <xdr:rowOff>88445</xdr:rowOff>
    </xdr:from>
    <xdr:to>
      <xdr:col>25</xdr:col>
      <xdr:colOff>388424</xdr:colOff>
      <xdr:row>238</xdr:row>
      <xdr:rowOff>27214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6D75748-E7D5-4372-910D-E3B34F58F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63850</xdr:colOff>
      <xdr:row>227</xdr:row>
      <xdr:rowOff>87023</xdr:rowOff>
    </xdr:from>
    <xdr:to>
      <xdr:col>41</xdr:col>
      <xdr:colOff>608135</xdr:colOff>
      <xdr:row>259</xdr:row>
      <xdr:rowOff>86591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2361C92-104C-49F0-8FC3-8491CC7F0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27216</xdr:colOff>
      <xdr:row>198</xdr:row>
      <xdr:rowOff>27214</xdr:rowOff>
    </xdr:from>
    <xdr:to>
      <xdr:col>16</xdr:col>
      <xdr:colOff>34635</xdr:colOff>
      <xdr:row>228</xdr:row>
      <xdr:rowOff>122465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8308378-DF87-4639-BE77-7B1780847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138545</xdr:colOff>
      <xdr:row>237</xdr:row>
      <xdr:rowOff>140400</xdr:rowOff>
    </xdr:from>
    <xdr:to>
      <xdr:col>25</xdr:col>
      <xdr:colOff>450273</xdr:colOff>
      <xdr:row>257</xdr:row>
      <xdr:rowOff>79169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23128C8-6E72-48D4-BBF3-FA25039BB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310536</xdr:colOff>
      <xdr:row>199</xdr:row>
      <xdr:rowOff>13608</xdr:rowOff>
    </xdr:from>
    <xdr:to>
      <xdr:col>10</xdr:col>
      <xdr:colOff>310536</xdr:colOff>
      <xdr:row>259</xdr:row>
      <xdr:rowOff>40821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353B3BCE-69F1-4F26-8A34-701C71925F59}"/>
            </a:ext>
          </a:extLst>
        </xdr:cNvPr>
        <xdr:cNvCxnSpPr/>
      </xdr:nvCxnSpPr>
      <xdr:spPr>
        <a:xfrm flipV="1">
          <a:off x="6187461" y="22416408"/>
          <a:ext cx="0" cy="9171213"/>
        </a:xfrm>
        <a:prstGeom prst="line">
          <a:avLst/>
        </a:prstGeom>
        <a:ln w="28575">
          <a:solidFill>
            <a:srgbClr val="00B050">
              <a:alpha val="80000"/>
            </a:srgb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291093</xdr:colOff>
      <xdr:row>198</xdr:row>
      <xdr:rowOff>34193</xdr:rowOff>
    </xdr:from>
    <xdr:to>
      <xdr:col>36</xdr:col>
      <xdr:colOff>291093</xdr:colOff>
      <xdr:row>255</xdr:row>
      <xdr:rowOff>12700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EDABC7AA-11E8-44A9-891C-57CAF9E97DB3}"/>
            </a:ext>
          </a:extLst>
        </xdr:cNvPr>
        <xdr:cNvCxnSpPr/>
      </xdr:nvCxnSpPr>
      <xdr:spPr>
        <a:xfrm flipV="1">
          <a:off x="19855443" y="22284593"/>
          <a:ext cx="0" cy="8665307"/>
        </a:xfrm>
        <a:prstGeom prst="line">
          <a:avLst/>
        </a:prstGeom>
        <a:ln w="28575">
          <a:solidFill>
            <a:srgbClr val="00B050">
              <a:alpha val="80000"/>
            </a:srgb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138544</xdr:colOff>
      <xdr:row>258</xdr:row>
      <xdr:rowOff>0</xdr:rowOff>
    </xdr:from>
    <xdr:to>
      <xdr:col>25</xdr:col>
      <xdr:colOff>571499</xdr:colOff>
      <xdr:row>277</xdr:row>
      <xdr:rowOff>94632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2A09A3E1-55DE-429D-83BA-807953930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263257</xdr:colOff>
      <xdr:row>199</xdr:row>
      <xdr:rowOff>19412</xdr:rowOff>
    </xdr:from>
    <xdr:to>
      <xdr:col>21</xdr:col>
      <xdr:colOff>263257</xdr:colOff>
      <xdr:row>277</xdr:row>
      <xdr:rowOff>118322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9DAEF66E-1952-43EB-A26A-F04AB20DE6F7}"/>
            </a:ext>
          </a:extLst>
        </xdr:cNvPr>
        <xdr:cNvCxnSpPr/>
      </xdr:nvCxnSpPr>
      <xdr:spPr>
        <a:xfrm flipV="1">
          <a:off x="11950432" y="22422212"/>
          <a:ext cx="0" cy="11986110"/>
        </a:xfrm>
        <a:prstGeom prst="line">
          <a:avLst/>
        </a:prstGeom>
        <a:ln w="28575">
          <a:solidFill>
            <a:srgbClr val="00B050">
              <a:alpha val="80000"/>
            </a:srgb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298450</xdr:colOff>
      <xdr:row>229</xdr:row>
      <xdr:rowOff>11793</xdr:rowOff>
    </xdr:from>
    <xdr:to>
      <xdr:col>53</xdr:col>
      <xdr:colOff>158750</xdr:colOff>
      <xdr:row>257</xdr:row>
      <xdr:rowOff>76201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835483B6-C78B-440D-AEB6-A186CB77A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KH/260814%20KH%20vision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IE"/>
      <sheetName val="apt"/>
      <sheetName val="BR-9.3"/>
      <sheetName val="CF-9.3"/>
      <sheetName val="D"/>
      <sheetName val="공개"/>
      <sheetName val="0"/>
      <sheetName val="EFS"/>
      <sheetName val="Pa"/>
      <sheetName val="Mth"/>
      <sheetName val="FS"/>
      <sheetName val="map"/>
      <sheetName val="P1"/>
      <sheetName val="FE"/>
      <sheetName val="B"/>
      <sheetName val="U"/>
      <sheetName val="BT"/>
      <sheetName val="AA"/>
      <sheetName val="Ins"/>
      <sheetName val="MR"/>
      <sheetName val="MC"/>
      <sheetName val="MP"/>
      <sheetName val="M"/>
      <sheetName val="$"/>
      <sheetName val="Phi"/>
      <sheetName val="Xii"/>
      <sheetName val="영아자"/>
      <sheetName val="9"/>
      <sheetName val="L c"/>
      <sheetName val="Ret"/>
      <sheetName val="Hz"/>
      <sheetName val="Ded 25-H"/>
      <sheetName val="Ded 24-H"/>
      <sheetName val="Ded 23-H"/>
      <sheetName val="BF"/>
      <sheetName val="Car"/>
      <sheetName val="Gr"/>
      <sheetName val="etc"/>
      <sheetName val="P"/>
      <sheetName val="1"/>
      <sheetName val="unp"/>
      <sheetName val="C"/>
      <sheetName val="Cop"/>
      <sheetName val="Comp"/>
      <sheetName val="Par"/>
      <sheetName val="haw"/>
      <sheetName val="gua"/>
      <sheetName val="tha"/>
      <sheetName val="sap"/>
      <sheetName val="P2"/>
      <sheetName val="경조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N2" t="str">
            <v>공용관리비</v>
          </cell>
          <cell r="AO2" t="str">
            <v>개별관리비</v>
          </cell>
        </row>
        <row r="4">
          <cell r="A4">
            <v>43132</v>
          </cell>
        </row>
        <row r="5">
          <cell r="A5">
            <v>43160</v>
          </cell>
        </row>
        <row r="6">
          <cell r="A6">
            <v>43191</v>
          </cell>
          <cell r="C6">
            <v>160970</v>
          </cell>
          <cell r="P6">
            <v>11040</v>
          </cell>
          <cell r="U6">
            <v>7890</v>
          </cell>
          <cell r="Z6">
            <v>3950</v>
          </cell>
          <cell r="AB6">
            <v>154</v>
          </cell>
          <cell r="AN6">
            <v>100426</v>
          </cell>
          <cell r="AO6">
            <v>60550</v>
          </cell>
        </row>
        <row r="7">
          <cell r="A7">
            <v>43221</v>
          </cell>
          <cell r="C7">
            <v>156020</v>
          </cell>
          <cell r="P7">
            <v>15050</v>
          </cell>
          <cell r="U7">
            <v>6850</v>
          </cell>
          <cell r="Z7">
            <v>0</v>
          </cell>
          <cell r="AB7">
            <v>193</v>
          </cell>
          <cell r="AN7">
            <v>98160</v>
          </cell>
          <cell r="AO7">
            <v>57860</v>
          </cell>
        </row>
        <row r="8">
          <cell r="A8">
            <v>43252</v>
          </cell>
          <cell r="C8">
            <v>142750</v>
          </cell>
          <cell r="P8">
            <v>11720</v>
          </cell>
          <cell r="U8">
            <v>10000</v>
          </cell>
          <cell r="Z8">
            <v>4660</v>
          </cell>
          <cell r="AB8">
            <v>156</v>
          </cell>
          <cell r="AN8">
            <v>98220</v>
          </cell>
          <cell r="AO8">
            <v>44530</v>
          </cell>
        </row>
        <row r="9">
          <cell r="A9">
            <v>43282</v>
          </cell>
          <cell r="C9">
            <v>133740</v>
          </cell>
          <cell r="P9">
            <v>14330</v>
          </cell>
          <cell r="U9">
            <v>8200</v>
          </cell>
          <cell r="Z9">
            <v>0</v>
          </cell>
          <cell r="AB9">
            <v>185</v>
          </cell>
          <cell r="AN9">
            <v>97840</v>
          </cell>
          <cell r="AO9">
            <v>35900</v>
          </cell>
        </row>
        <row r="10">
          <cell r="A10">
            <v>43313</v>
          </cell>
          <cell r="C10">
            <v>136380</v>
          </cell>
          <cell r="P10">
            <v>12880</v>
          </cell>
          <cell r="U10">
            <v>8070</v>
          </cell>
          <cell r="Z10">
            <v>4730</v>
          </cell>
          <cell r="AB10">
            <v>169</v>
          </cell>
          <cell r="AN10">
            <v>97330</v>
          </cell>
          <cell r="AO10">
            <v>39050</v>
          </cell>
        </row>
        <row r="11">
          <cell r="A11">
            <v>43344</v>
          </cell>
          <cell r="C11">
            <v>143210</v>
          </cell>
          <cell r="P11">
            <v>40570</v>
          </cell>
          <cell r="U11">
            <v>8640</v>
          </cell>
          <cell r="Z11">
            <v>0</v>
          </cell>
          <cell r="AB11">
            <v>375</v>
          </cell>
          <cell r="AN11">
            <v>84330</v>
          </cell>
          <cell r="AO11">
            <v>58880</v>
          </cell>
        </row>
        <row r="12">
          <cell r="A12">
            <v>43374</v>
          </cell>
          <cell r="C12">
            <v>130260</v>
          </cell>
          <cell r="P12">
            <v>15290</v>
          </cell>
          <cell r="U12">
            <v>6720</v>
          </cell>
          <cell r="Z12">
            <v>4750</v>
          </cell>
          <cell r="AB12">
            <v>199</v>
          </cell>
          <cell r="AN12">
            <v>93830</v>
          </cell>
          <cell r="AO12">
            <v>36430</v>
          </cell>
        </row>
        <row r="13">
          <cell r="A13">
            <v>43405</v>
          </cell>
          <cell r="C13">
            <v>139050</v>
          </cell>
          <cell r="P13">
            <v>15780</v>
          </cell>
          <cell r="U13">
            <v>8640</v>
          </cell>
          <cell r="Z13">
            <v>0</v>
          </cell>
          <cell r="AB13">
            <v>200</v>
          </cell>
          <cell r="AN13">
            <v>97760</v>
          </cell>
          <cell r="AO13">
            <v>41290</v>
          </cell>
        </row>
        <row r="14">
          <cell r="A14">
            <v>43435</v>
          </cell>
          <cell r="C14">
            <v>189170</v>
          </cell>
          <cell r="P14">
            <v>21070</v>
          </cell>
          <cell r="U14">
            <v>8640</v>
          </cell>
          <cell r="Z14">
            <v>5500</v>
          </cell>
          <cell r="AB14">
            <v>211</v>
          </cell>
          <cell r="AN14">
            <v>100010</v>
          </cell>
          <cell r="AO14">
            <v>89160</v>
          </cell>
        </row>
        <row r="15">
          <cell r="A15">
            <v>43466</v>
          </cell>
          <cell r="C15">
            <v>195900</v>
          </cell>
          <cell r="P15">
            <v>19900</v>
          </cell>
          <cell r="U15">
            <v>6720</v>
          </cell>
          <cell r="Z15">
            <v>0</v>
          </cell>
          <cell r="AB15">
            <v>204</v>
          </cell>
          <cell r="AN15">
            <v>95510</v>
          </cell>
          <cell r="AO15">
            <v>100390</v>
          </cell>
        </row>
        <row r="16">
          <cell r="A16">
            <v>43497</v>
          </cell>
          <cell r="C16">
            <v>225630</v>
          </cell>
          <cell r="P16">
            <v>26930</v>
          </cell>
          <cell r="U16">
            <v>6720</v>
          </cell>
          <cell r="Z16">
            <v>4040</v>
          </cell>
          <cell r="AB16">
            <v>246</v>
          </cell>
          <cell r="AN16">
            <v>105620</v>
          </cell>
          <cell r="AO16">
            <v>120010</v>
          </cell>
        </row>
        <row r="17">
          <cell r="A17">
            <v>43525</v>
          </cell>
          <cell r="C17">
            <v>216490</v>
          </cell>
          <cell r="P17">
            <v>22070</v>
          </cell>
          <cell r="U17">
            <v>6720</v>
          </cell>
          <cell r="Z17">
            <v>0</v>
          </cell>
          <cell r="AB17">
            <v>217</v>
          </cell>
          <cell r="AN17">
            <v>109080</v>
          </cell>
          <cell r="AO17">
            <v>107410</v>
          </cell>
        </row>
        <row r="18">
          <cell r="A18">
            <v>43556</v>
          </cell>
          <cell r="C18">
            <v>189890</v>
          </cell>
          <cell r="P18">
            <v>13200</v>
          </cell>
          <cell r="U18">
            <v>6720</v>
          </cell>
          <cell r="Z18">
            <v>4040</v>
          </cell>
          <cell r="AB18">
            <v>171</v>
          </cell>
          <cell r="AN18">
            <v>104800</v>
          </cell>
          <cell r="AO18">
            <v>85090</v>
          </cell>
        </row>
        <row r="19">
          <cell r="A19">
            <v>43586</v>
          </cell>
          <cell r="C19">
            <v>171620</v>
          </cell>
          <cell r="P19">
            <v>14180</v>
          </cell>
          <cell r="U19">
            <v>7030</v>
          </cell>
          <cell r="Z19">
            <v>0</v>
          </cell>
          <cell r="AB19">
            <v>182</v>
          </cell>
          <cell r="AN19">
            <v>101840</v>
          </cell>
          <cell r="AO19">
            <v>69780</v>
          </cell>
        </row>
        <row r="20">
          <cell r="A20">
            <v>43617</v>
          </cell>
          <cell r="C20">
            <v>152450</v>
          </cell>
          <cell r="P20">
            <v>10530</v>
          </cell>
          <cell r="U20">
            <v>8610</v>
          </cell>
          <cell r="Z20">
            <v>4780</v>
          </cell>
          <cell r="AB20">
            <v>141</v>
          </cell>
          <cell r="AN20">
            <v>104560</v>
          </cell>
          <cell r="AO20">
            <v>47890</v>
          </cell>
        </row>
        <row r="21">
          <cell r="A21">
            <v>43647</v>
          </cell>
          <cell r="C21">
            <v>126770</v>
          </cell>
          <cell r="P21">
            <v>11070</v>
          </cell>
          <cell r="U21">
            <v>0</v>
          </cell>
          <cell r="Z21">
            <v>0</v>
          </cell>
          <cell r="AB21">
            <v>147</v>
          </cell>
          <cell r="AN21">
            <v>100830</v>
          </cell>
          <cell r="AO21">
            <v>25940</v>
          </cell>
        </row>
        <row r="22">
          <cell r="A22">
            <v>43678</v>
          </cell>
          <cell r="C22">
            <v>131270</v>
          </cell>
          <cell r="P22">
            <v>11330</v>
          </cell>
          <cell r="U22">
            <v>0</v>
          </cell>
          <cell r="Z22">
            <v>4100</v>
          </cell>
          <cell r="AB22">
            <v>150</v>
          </cell>
          <cell r="AN22">
            <v>102270</v>
          </cell>
          <cell r="AO22">
            <v>29000</v>
          </cell>
        </row>
        <row r="23">
          <cell r="A23">
            <v>43709</v>
          </cell>
          <cell r="C23">
            <v>134150</v>
          </cell>
          <cell r="P23">
            <v>22720</v>
          </cell>
          <cell r="U23">
            <v>0</v>
          </cell>
          <cell r="Z23">
            <v>0</v>
          </cell>
          <cell r="AB23">
            <v>246</v>
          </cell>
          <cell r="AN23">
            <v>101660</v>
          </cell>
          <cell r="AO23">
            <v>32490</v>
          </cell>
        </row>
        <row r="24">
          <cell r="A24">
            <v>43739</v>
          </cell>
          <cell r="C24">
            <v>138530</v>
          </cell>
          <cell r="P24">
            <v>12220</v>
          </cell>
          <cell r="U24">
            <v>7680</v>
          </cell>
          <cell r="Z24">
            <v>5650</v>
          </cell>
          <cell r="AB24">
            <v>160</v>
          </cell>
          <cell r="AN24">
            <v>103060</v>
          </cell>
          <cell r="AO24">
            <v>35470</v>
          </cell>
        </row>
        <row r="25">
          <cell r="A25">
            <v>43770</v>
          </cell>
          <cell r="C25">
            <v>138610</v>
          </cell>
          <cell r="P25">
            <v>9190</v>
          </cell>
          <cell r="U25">
            <v>7860</v>
          </cell>
          <cell r="Z25">
            <v>0</v>
          </cell>
          <cell r="AB25">
            <v>126</v>
          </cell>
          <cell r="AN25">
            <v>105090</v>
          </cell>
          <cell r="AO25">
            <v>33520</v>
          </cell>
        </row>
        <row r="26">
          <cell r="A26">
            <v>43800</v>
          </cell>
          <cell r="C26">
            <v>159550</v>
          </cell>
          <cell r="P26">
            <v>9100</v>
          </cell>
          <cell r="U26">
            <v>7680</v>
          </cell>
          <cell r="Z26">
            <v>4130</v>
          </cell>
          <cell r="AB26">
            <v>125</v>
          </cell>
          <cell r="AN26">
            <v>106570</v>
          </cell>
          <cell r="AO26">
            <v>52980</v>
          </cell>
        </row>
        <row r="27">
          <cell r="A27">
            <v>43831</v>
          </cell>
          <cell r="C27">
            <v>194700</v>
          </cell>
          <cell r="P27">
            <v>12220</v>
          </cell>
          <cell r="U27">
            <v>5660</v>
          </cell>
          <cell r="Z27">
            <v>0</v>
          </cell>
          <cell r="AB27">
            <v>160</v>
          </cell>
          <cell r="AN27">
            <v>107850</v>
          </cell>
          <cell r="AO27">
            <v>86850</v>
          </cell>
        </row>
        <row r="28">
          <cell r="A28">
            <v>43862</v>
          </cell>
          <cell r="C28">
            <v>188600</v>
          </cell>
          <cell r="P28">
            <v>14450</v>
          </cell>
          <cell r="U28">
            <v>7380</v>
          </cell>
          <cell r="Z28">
            <v>4880</v>
          </cell>
          <cell r="AB28">
            <v>185</v>
          </cell>
          <cell r="AN28">
            <v>103620</v>
          </cell>
          <cell r="AO28">
            <v>84980</v>
          </cell>
        </row>
        <row r="29">
          <cell r="A29">
            <v>43891</v>
          </cell>
          <cell r="C29">
            <v>208020</v>
          </cell>
          <cell r="P29">
            <v>22070</v>
          </cell>
          <cell r="U29">
            <v>10750</v>
          </cell>
          <cell r="Z29">
            <v>0</v>
          </cell>
          <cell r="AB29">
            <v>217</v>
          </cell>
          <cell r="AN29">
            <v>108180</v>
          </cell>
          <cell r="AO29">
            <v>99840</v>
          </cell>
        </row>
        <row r="30">
          <cell r="A30">
            <v>43922</v>
          </cell>
          <cell r="C30">
            <v>207150</v>
          </cell>
          <cell r="P30">
            <v>20740</v>
          </cell>
          <cell r="U30">
            <v>9780</v>
          </cell>
          <cell r="Z30">
            <v>6410</v>
          </cell>
          <cell r="AB30">
            <v>209</v>
          </cell>
          <cell r="AN30">
            <v>106900</v>
          </cell>
          <cell r="AO30">
            <v>100250</v>
          </cell>
        </row>
        <row r="31">
          <cell r="A31">
            <v>43952</v>
          </cell>
          <cell r="C31">
            <v>188980</v>
          </cell>
          <cell r="P31">
            <v>19400</v>
          </cell>
          <cell r="U31">
            <v>9600</v>
          </cell>
          <cell r="Z31">
            <v>0</v>
          </cell>
          <cell r="AB31">
            <v>201</v>
          </cell>
          <cell r="AN31">
            <v>103010</v>
          </cell>
          <cell r="AO31">
            <v>85970</v>
          </cell>
        </row>
        <row r="32">
          <cell r="A32">
            <v>43983</v>
          </cell>
          <cell r="C32">
            <v>170290</v>
          </cell>
          <cell r="P32">
            <v>12840</v>
          </cell>
          <cell r="U32">
            <v>12660</v>
          </cell>
          <cell r="Z32">
            <v>7150</v>
          </cell>
          <cell r="AB32">
            <v>167</v>
          </cell>
          <cell r="AN32">
            <v>105520</v>
          </cell>
          <cell r="AO32">
            <v>64770</v>
          </cell>
        </row>
        <row r="33">
          <cell r="A33">
            <v>44013</v>
          </cell>
          <cell r="C33">
            <v>150100</v>
          </cell>
          <cell r="P33">
            <v>22070</v>
          </cell>
          <cell r="U33">
            <v>10790</v>
          </cell>
          <cell r="Z33">
            <v>0</v>
          </cell>
          <cell r="AB33">
            <v>217</v>
          </cell>
          <cell r="AN33">
            <v>103370</v>
          </cell>
          <cell r="AO33">
            <v>46730</v>
          </cell>
        </row>
        <row r="34">
          <cell r="A34">
            <v>44044</v>
          </cell>
          <cell r="C34">
            <v>150910</v>
          </cell>
          <cell r="P34">
            <v>12940</v>
          </cell>
          <cell r="U34">
            <v>10930</v>
          </cell>
          <cell r="Z34">
            <v>7410</v>
          </cell>
          <cell r="AB34">
            <v>168</v>
          </cell>
          <cell r="AN34">
            <v>105760</v>
          </cell>
          <cell r="AO34">
            <v>45150</v>
          </cell>
        </row>
        <row r="35">
          <cell r="A35">
            <v>44075</v>
          </cell>
          <cell r="C35">
            <v>148570</v>
          </cell>
          <cell r="P35">
            <v>24060</v>
          </cell>
          <cell r="U35">
            <v>9360</v>
          </cell>
          <cell r="Z35">
            <v>0</v>
          </cell>
          <cell r="AB35">
            <v>261</v>
          </cell>
          <cell r="AN35">
            <v>105230</v>
          </cell>
          <cell r="AO35">
            <v>43340</v>
          </cell>
        </row>
        <row r="36">
          <cell r="A36">
            <v>44105</v>
          </cell>
          <cell r="C36">
            <v>155740</v>
          </cell>
          <cell r="P36">
            <v>22220</v>
          </cell>
          <cell r="U36">
            <v>11740</v>
          </cell>
          <cell r="Z36">
            <v>7270</v>
          </cell>
          <cell r="AB36">
            <v>221</v>
          </cell>
          <cell r="AN36">
            <v>107090</v>
          </cell>
          <cell r="AO36">
            <v>48650</v>
          </cell>
        </row>
        <row r="37">
          <cell r="A37">
            <v>44136</v>
          </cell>
          <cell r="C37">
            <v>136780</v>
          </cell>
          <cell r="P37">
            <v>11240</v>
          </cell>
          <cell r="U37">
            <v>8090</v>
          </cell>
          <cell r="Z37">
            <v>0</v>
          </cell>
          <cell r="AB37">
            <v>149</v>
          </cell>
          <cell r="AN37">
            <v>106730</v>
          </cell>
          <cell r="AO37">
            <v>30050</v>
          </cell>
        </row>
        <row r="38">
          <cell r="A38">
            <v>44166</v>
          </cell>
          <cell r="C38">
            <v>171520</v>
          </cell>
          <cell r="P38">
            <v>14540</v>
          </cell>
          <cell r="U38">
            <v>9940</v>
          </cell>
          <cell r="Z38">
            <v>6590</v>
          </cell>
          <cell r="AB38">
            <v>186</v>
          </cell>
          <cell r="AN38">
            <v>107080</v>
          </cell>
          <cell r="AO38">
            <v>64440</v>
          </cell>
        </row>
        <row r="39">
          <cell r="A39">
            <v>44197</v>
          </cell>
          <cell r="C39">
            <v>198980</v>
          </cell>
          <cell r="P39">
            <v>19560</v>
          </cell>
          <cell r="U39">
            <v>9200</v>
          </cell>
          <cell r="Z39">
            <v>0</v>
          </cell>
          <cell r="AB39">
            <v>202</v>
          </cell>
          <cell r="AN39">
            <v>109180</v>
          </cell>
          <cell r="AO39">
            <v>89800</v>
          </cell>
        </row>
        <row r="40">
          <cell r="A40">
            <v>44228</v>
          </cell>
          <cell r="C40">
            <v>229500</v>
          </cell>
          <cell r="P40">
            <v>23030</v>
          </cell>
          <cell r="U40">
            <v>9900</v>
          </cell>
          <cell r="Z40">
            <v>5920</v>
          </cell>
          <cell r="AB40">
            <v>227</v>
          </cell>
          <cell r="AN40">
            <v>122580</v>
          </cell>
          <cell r="AO40">
            <v>106920</v>
          </cell>
        </row>
        <row r="41">
          <cell r="A41">
            <v>44256</v>
          </cell>
          <cell r="C41">
            <v>202280</v>
          </cell>
          <cell r="P41">
            <v>13880</v>
          </cell>
          <cell r="U41">
            <v>11270</v>
          </cell>
          <cell r="Z41">
            <v>0</v>
          </cell>
          <cell r="AB41">
            <v>185</v>
          </cell>
          <cell r="AN41">
            <v>119460</v>
          </cell>
          <cell r="AO41">
            <v>82820</v>
          </cell>
        </row>
        <row r="42">
          <cell r="A42">
            <v>44287</v>
          </cell>
          <cell r="C42">
            <v>172940</v>
          </cell>
          <cell r="P42">
            <v>11300</v>
          </cell>
          <cell r="U42">
            <v>8490</v>
          </cell>
          <cell r="Z42">
            <v>6570</v>
          </cell>
          <cell r="AB42">
            <v>155</v>
          </cell>
          <cell r="AN42">
            <v>119250</v>
          </cell>
          <cell r="AO42">
            <v>53690</v>
          </cell>
        </row>
        <row r="43">
          <cell r="A43">
            <v>44317</v>
          </cell>
          <cell r="C43">
            <v>165010</v>
          </cell>
          <cell r="P43">
            <v>12420</v>
          </cell>
          <cell r="U43">
            <v>11100</v>
          </cell>
          <cell r="Z43">
            <v>0</v>
          </cell>
          <cell r="AB43">
            <v>168</v>
          </cell>
          <cell r="AN43">
            <v>120970</v>
          </cell>
          <cell r="AO43">
            <v>44040</v>
          </cell>
        </row>
        <row r="44">
          <cell r="A44">
            <v>44348</v>
          </cell>
          <cell r="C44">
            <v>165680</v>
          </cell>
          <cell r="P44">
            <v>12680</v>
          </cell>
          <cell r="U44">
            <v>10500</v>
          </cell>
          <cell r="Z44">
            <v>7250</v>
          </cell>
          <cell r="AB44">
            <v>171</v>
          </cell>
          <cell r="AN44">
            <v>118430</v>
          </cell>
          <cell r="AO44">
            <v>47250</v>
          </cell>
        </row>
        <row r="45">
          <cell r="A45">
            <v>44378</v>
          </cell>
          <cell r="C45">
            <v>146080</v>
          </cell>
          <cell r="P45">
            <v>10960</v>
          </cell>
          <cell r="U45">
            <v>9970</v>
          </cell>
          <cell r="Z45">
            <v>0</v>
          </cell>
          <cell r="AB45">
            <v>151</v>
          </cell>
          <cell r="AN45">
            <v>117730</v>
          </cell>
          <cell r="AO45">
            <v>28350</v>
          </cell>
        </row>
        <row r="46">
          <cell r="A46">
            <v>44409</v>
          </cell>
          <cell r="C46">
            <v>169080</v>
          </cell>
          <cell r="P46">
            <v>20760</v>
          </cell>
          <cell r="U46">
            <v>11800</v>
          </cell>
          <cell r="Z46">
            <v>5220</v>
          </cell>
          <cell r="AB46">
            <v>226</v>
          </cell>
          <cell r="AN46">
            <v>119930</v>
          </cell>
          <cell r="AO46">
            <v>49150</v>
          </cell>
        </row>
        <row r="47">
          <cell r="A47">
            <v>44440</v>
          </cell>
          <cell r="C47">
            <v>142750</v>
          </cell>
          <cell r="P47">
            <v>18450</v>
          </cell>
          <cell r="U47">
            <v>5460</v>
          </cell>
          <cell r="Z47">
            <v>0</v>
          </cell>
          <cell r="AB47">
            <v>205</v>
          </cell>
          <cell r="AN47">
            <v>115370</v>
          </cell>
          <cell r="AO47">
            <v>27380</v>
          </cell>
        </row>
        <row r="48">
          <cell r="A48">
            <v>44470</v>
          </cell>
          <cell r="C48">
            <v>157460</v>
          </cell>
          <cell r="P48">
            <v>12100</v>
          </cell>
          <cell r="U48">
            <v>9920</v>
          </cell>
          <cell r="Z48">
            <v>5880</v>
          </cell>
          <cell r="AB48">
            <v>151</v>
          </cell>
          <cell r="AN48">
            <v>118190</v>
          </cell>
          <cell r="AO48">
            <v>39270</v>
          </cell>
        </row>
        <row r="49">
          <cell r="A49">
            <v>44501</v>
          </cell>
          <cell r="C49">
            <v>152520</v>
          </cell>
          <cell r="P49">
            <v>14130</v>
          </cell>
          <cell r="U49">
            <v>7930</v>
          </cell>
          <cell r="Z49">
            <v>0</v>
          </cell>
          <cell r="AB49">
            <v>168</v>
          </cell>
          <cell r="AN49">
            <v>117840</v>
          </cell>
          <cell r="AO49">
            <v>34680</v>
          </cell>
        </row>
        <row r="50">
          <cell r="A50">
            <v>44531</v>
          </cell>
          <cell r="C50">
            <v>165100</v>
          </cell>
          <cell r="P50">
            <v>16630</v>
          </cell>
          <cell r="U50">
            <v>8510</v>
          </cell>
          <cell r="Z50">
            <v>6590</v>
          </cell>
          <cell r="AB50">
            <v>196</v>
          </cell>
          <cell r="AN50">
            <v>118100</v>
          </cell>
          <cell r="AO50">
            <v>47000</v>
          </cell>
        </row>
        <row r="51">
          <cell r="A51">
            <v>44562</v>
          </cell>
          <cell r="C51">
            <v>105390</v>
          </cell>
          <cell r="P51">
            <v>11180</v>
          </cell>
          <cell r="U51">
            <v>7920</v>
          </cell>
          <cell r="Z51">
            <v>0</v>
          </cell>
          <cell r="AB51">
            <v>135</v>
          </cell>
        </row>
        <row r="55">
          <cell r="C55" t="str">
            <v>합계</v>
          </cell>
          <cell r="D55" t="str">
            <v>관리비 합계</v>
          </cell>
          <cell r="E55" t="str">
            <v>일반관리비</v>
          </cell>
          <cell r="F55" t="str">
            <v>경비비</v>
          </cell>
          <cell r="G55" t="str">
            <v>청소비</v>
          </cell>
          <cell r="H55" t="str">
            <v>소독비</v>
          </cell>
          <cell r="I55" t="str">
            <v>승강기유지비</v>
          </cell>
          <cell r="J55" t="str">
            <v>수선유지비</v>
          </cell>
          <cell r="K55" t="str">
            <v>위탁관리비</v>
          </cell>
          <cell r="L55" t="str">
            <v>화재보험료</v>
          </cell>
          <cell r="M55" t="str">
            <v>선관위운영비</v>
          </cell>
          <cell r="N55" t="str">
            <v>하수처리시설료</v>
          </cell>
          <cell r="O55" t="str">
            <v>대표회의운영비</v>
          </cell>
          <cell r="P55" t="str">
            <v>전기료</v>
          </cell>
          <cell r="Q55" t="str">
            <v>공동전기료</v>
          </cell>
          <cell r="R55" t="str">
            <v>승강기전기</v>
          </cell>
          <cell r="S55" t="str">
            <v>TV수신료</v>
          </cell>
          <cell r="T55" t="str">
            <v>일자리지원차감</v>
          </cell>
          <cell r="U55" t="str">
            <v>수도요금</v>
          </cell>
          <cell r="V55" t="str">
            <v>공동수도료</v>
          </cell>
          <cell r="W55" t="str">
            <v>장기수선충당금</v>
          </cell>
          <cell r="X55" t="str">
            <v>커뮤니티운영비</v>
          </cell>
          <cell r="Y55" t="str">
            <v>음식물</v>
          </cell>
          <cell r="Z55" t="str">
            <v>도시가스요금</v>
          </cell>
        </row>
        <row r="57">
          <cell r="A57">
            <v>44562</v>
          </cell>
          <cell r="C57">
            <v>215960</v>
          </cell>
          <cell r="AN57">
            <v>102810</v>
          </cell>
          <cell r="AO57">
            <v>113150</v>
          </cell>
        </row>
        <row r="60">
          <cell r="A60">
            <v>44593</v>
          </cell>
          <cell r="C60">
            <v>244880</v>
          </cell>
          <cell r="P60">
            <v>39580</v>
          </cell>
          <cell r="U60">
            <v>9450</v>
          </cell>
          <cell r="Z60">
            <v>89180</v>
          </cell>
          <cell r="AB60">
            <v>279</v>
          </cell>
          <cell r="AC60">
            <v>9</v>
          </cell>
          <cell r="AE60">
            <v>133</v>
          </cell>
          <cell r="AL60">
            <v>670.52631578947364</v>
          </cell>
          <cell r="AN60">
            <v>104170</v>
          </cell>
          <cell r="AO60">
            <v>140710</v>
          </cell>
        </row>
        <row r="61">
          <cell r="A61">
            <v>44621</v>
          </cell>
          <cell r="C61">
            <v>232600</v>
          </cell>
          <cell r="P61">
            <v>38320</v>
          </cell>
          <cell r="U61">
            <v>11550</v>
          </cell>
          <cell r="Z61">
            <v>73610</v>
          </cell>
          <cell r="AB61">
            <v>273</v>
          </cell>
          <cell r="AC61">
            <v>11</v>
          </cell>
          <cell r="AE61">
            <v>108</v>
          </cell>
          <cell r="AL61">
            <v>681.57407407407402</v>
          </cell>
          <cell r="AN61">
            <v>108990</v>
          </cell>
          <cell r="AO61">
            <v>123610</v>
          </cell>
        </row>
        <row r="62">
          <cell r="A62">
            <v>44652</v>
          </cell>
          <cell r="C62">
            <v>189760</v>
          </cell>
          <cell r="P62">
            <v>27840</v>
          </cell>
          <cell r="U62">
            <v>9450</v>
          </cell>
          <cell r="Z62">
            <v>44860</v>
          </cell>
          <cell r="AB62">
            <v>224</v>
          </cell>
          <cell r="AC62">
            <v>9</v>
          </cell>
          <cell r="AE62">
            <v>66</v>
          </cell>
          <cell r="AL62">
            <v>679.69696969696975</v>
          </cell>
          <cell r="AN62">
            <v>107100</v>
          </cell>
          <cell r="AO62">
            <v>82660</v>
          </cell>
        </row>
        <row r="63">
          <cell r="A63">
            <v>44682</v>
          </cell>
          <cell r="C63">
            <v>153270</v>
          </cell>
          <cell r="P63">
            <v>24090</v>
          </cell>
          <cell r="U63">
            <v>10500</v>
          </cell>
          <cell r="Z63">
            <v>12900</v>
          </cell>
          <cell r="AB63">
            <v>204</v>
          </cell>
          <cell r="AC63">
            <v>10</v>
          </cell>
          <cell r="AE63">
            <v>17</v>
          </cell>
          <cell r="AL63">
            <v>758.82352941176475</v>
          </cell>
          <cell r="AN63">
            <v>105600</v>
          </cell>
          <cell r="AO63">
            <v>47670</v>
          </cell>
        </row>
        <row r="64">
          <cell r="A64">
            <v>44713</v>
          </cell>
          <cell r="C64">
            <v>137000</v>
          </cell>
          <cell r="P64">
            <v>18280</v>
          </cell>
          <cell r="U64">
            <v>9450</v>
          </cell>
          <cell r="Z64">
            <v>9270</v>
          </cell>
          <cell r="AB64">
            <v>173</v>
          </cell>
          <cell r="AC64">
            <v>9</v>
          </cell>
          <cell r="AE64">
            <v>11</v>
          </cell>
          <cell r="AL64">
            <v>842.72727272727275</v>
          </cell>
          <cell r="AN64">
            <v>99750</v>
          </cell>
          <cell r="AO64">
            <v>37250</v>
          </cell>
        </row>
        <row r="65">
          <cell r="A65">
            <v>44743</v>
          </cell>
          <cell r="C65">
            <v>134210</v>
          </cell>
          <cell r="P65">
            <v>19480</v>
          </cell>
          <cell r="U65">
            <v>9450</v>
          </cell>
          <cell r="Z65">
            <v>3070</v>
          </cell>
          <cell r="AB65">
            <v>183</v>
          </cell>
          <cell r="AC65">
            <v>9</v>
          </cell>
          <cell r="AE65">
            <v>4</v>
          </cell>
          <cell r="AL65">
            <v>767.5</v>
          </cell>
          <cell r="AN65">
            <v>101600</v>
          </cell>
          <cell r="AO65">
            <v>32610</v>
          </cell>
        </row>
        <row r="66">
          <cell r="A66">
            <v>44774</v>
          </cell>
          <cell r="C66">
            <v>149570</v>
          </cell>
          <cell r="P66">
            <v>31000</v>
          </cell>
          <cell r="U66">
            <v>8400</v>
          </cell>
          <cell r="Z66">
            <v>3930</v>
          </cell>
          <cell r="AB66">
            <v>228</v>
          </cell>
          <cell r="AC66">
            <v>8</v>
          </cell>
          <cell r="AE66">
            <v>4</v>
          </cell>
          <cell r="AL66">
            <v>982.5</v>
          </cell>
          <cell r="AN66">
            <v>106150</v>
          </cell>
          <cell r="AO66">
            <v>43420</v>
          </cell>
        </row>
        <row r="67">
          <cell r="A67">
            <v>44805</v>
          </cell>
          <cell r="C67">
            <v>155680</v>
          </cell>
          <cell r="P67">
            <v>38550</v>
          </cell>
          <cell r="U67">
            <v>7350</v>
          </cell>
          <cell r="Z67">
            <v>3940</v>
          </cell>
          <cell r="AB67">
            <v>304</v>
          </cell>
          <cell r="AC67">
            <v>7</v>
          </cell>
          <cell r="AE67">
            <v>4</v>
          </cell>
          <cell r="AL67">
            <v>985</v>
          </cell>
          <cell r="AN67">
            <v>105680</v>
          </cell>
          <cell r="AO67">
            <v>50000</v>
          </cell>
        </row>
        <row r="68">
          <cell r="A68">
            <v>44835</v>
          </cell>
          <cell r="C68">
            <v>151930</v>
          </cell>
          <cell r="P68">
            <v>33370</v>
          </cell>
          <cell r="U68">
            <v>8400</v>
          </cell>
          <cell r="Z68">
            <v>4850</v>
          </cell>
          <cell r="AB68">
            <v>257</v>
          </cell>
          <cell r="AC68">
            <v>8</v>
          </cell>
          <cell r="AE68">
            <v>5</v>
          </cell>
          <cell r="AL68">
            <v>970</v>
          </cell>
          <cell r="AN68">
            <v>105310</v>
          </cell>
          <cell r="AO68">
            <v>46620</v>
          </cell>
        </row>
        <row r="69">
          <cell r="A69">
            <v>44866</v>
          </cell>
          <cell r="C69">
            <v>148410</v>
          </cell>
          <cell r="P69">
            <v>23590</v>
          </cell>
          <cell r="U69">
            <v>8400</v>
          </cell>
          <cell r="Z69">
            <v>17760</v>
          </cell>
          <cell r="AB69">
            <v>186</v>
          </cell>
          <cell r="AC69">
            <v>8</v>
          </cell>
          <cell r="AE69">
            <v>18</v>
          </cell>
          <cell r="AL69">
            <v>986.66666666666663</v>
          </cell>
          <cell r="AN69">
            <v>98370</v>
          </cell>
          <cell r="AO69">
            <v>50040</v>
          </cell>
        </row>
        <row r="70">
          <cell r="A70">
            <v>44896</v>
          </cell>
          <cell r="C70">
            <v>189100</v>
          </cell>
          <cell r="P70">
            <v>25410</v>
          </cell>
          <cell r="U70">
            <v>9450</v>
          </cell>
          <cell r="Z70">
            <v>51000</v>
          </cell>
          <cell r="AB70">
            <v>190</v>
          </cell>
          <cell r="AC70">
            <v>9</v>
          </cell>
          <cell r="AE70">
            <v>54</v>
          </cell>
          <cell r="AL70">
            <v>944.44444444444446</v>
          </cell>
          <cell r="AN70">
            <v>103240</v>
          </cell>
          <cell r="AO70">
            <v>85860</v>
          </cell>
        </row>
        <row r="71">
          <cell r="A71">
            <v>44927</v>
          </cell>
          <cell r="C71">
            <v>279230</v>
          </cell>
          <cell r="P71">
            <v>23490</v>
          </cell>
          <cell r="U71">
            <v>7350</v>
          </cell>
          <cell r="Z71">
            <v>143150</v>
          </cell>
          <cell r="AB71">
            <v>175</v>
          </cell>
          <cell r="AC71">
            <v>7</v>
          </cell>
          <cell r="AE71">
            <v>154</v>
          </cell>
          <cell r="AL71">
            <v>929.5454545454545</v>
          </cell>
          <cell r="AN71">
            <v>105170</v>
          </cell>
          <cell r="AO71">
            <v>174060</v>
          </cell>
        </row>
        <row r="72">
          <cell r="A72">
            <v>44958</v>
          </cell>
          <cell r="C72">
            <v>304540</v>
          </cell>
          <cell r="P72">
            <v>35570</v>
          </cell>
          <cell r="U72">
            <v>8400</v>
          </cell>
          <cell r="Z72">
            <v>147550</v>
          </cell>
          <cell r="AB72">
            <v>231</v>
          </cell>
          <cell r="AC72">
            <v>8</v>
          </cell>
          <cell r="AE72">
            <v>157</v>
          </cell>
          <cell r="AL72">
            <v>939.80891719745227</v>
          </cell>
          <cell r="AN72">
            <v>112650</v>
          </cell>
          <cell r="AO72">
            <v>191890</v>
          </cell>
        </row>
        <row r="73">
          <cell r="A73">
            <v>44986</v>
          </cell>
          <cell r="C73">
            <v>244930</v>
          </cell>
          <cell r="P73">
            <v>29390</v>
          </cell>
          <cell r="U73">
            <v>8050</v>
          </cell>
          <cell r="Z73">
            <v>91580</v>
          </cell>
          <cell r="AB73">
            <v>198</v>
          </cell>
          <cell r="AC73">
            <v>7</v>
          </cell>
          <cell r="AE73">
            <v>98</v>
          </cell>
          <cell r="AL73">
            <v>934.48979591836735</v>
          </cell>
          <cell r="AN73">
            <v>115670</v>
          </cell>
          <cell r="AO73">
            <v>129260</v>
          </cell>
        </row>
        <row r="74">
          <cell r="A74">
            <v>45017</v>
          </cell>
          <cell r="C74">
            <v>189450</v>
          </cell>
          <cell r="P74">
            <v>29540</v>
          </cell>
          <cell r="U74">
            <v>8050</v>
          </cell>
          <cell r="Z74">
            <v>41370</v>
          </cell>
          <cell r="AB74">
            <v>199</v>
          </cell>
          <cell r="AC74">
            <v>7</v>
          </cell>
          <cell r="AE74">
            <v>44</v>
          </cell>
          <cell r="AL74">
            <v>940.22727272727275</v>
          </cell>
          <cell r="AN74">
            <v>110490</v>
          </cell>
          <cell r="AO74">
            <v>78960</v>
          </cell>
        </row>
        <row r="75">
          <cell r="A75">
            <v>45047</v>
          </cell>
          <cell r="C75">
            <v>161150</v>
          </cell>
          <cell r="P75">
            <v>27670</v>
          </cell>
          <cell r="U75">
            <v>8050</v>
          </cell>
          <cell r="Z75">
            <v>17440</v>
          </cell>
          <cell r="AB75">
            <v>187</v>
          </cell>
          <cell r="AC75">
            <v>7</v>
          </cell>
          <cell r="AE75">
            <v>18</v>
          </cell>
          <cell r="AL75">
            <v>968.88888888888891</v>
          </cell>
          <cell r="AN75">
            <v>107990</v>
          </cell>
          <cell r="AO75">
            <v>53160</v>
          </cell>
        </row>
        <row r="76">
          <cell r="A76">
            <v>45078</v>
          </cell>
          <cell r="C76">
            <v>149580</v>
          </cell>
          <cell r="P76">
            <v>27810</v>
          </cell>
          <cell r="U76">
            <v>8050</v>
          </cell>
          <cell r="Z76">
            <v>7470</v>
          </cell>
          <cell r="AB76">
            <v>187</v>
          </cell>
          <cell r="AC76">
            <v>7</v>
          </cell>
          <cell r="AE76">
            <v>7</v>
          </cell>
          <cell r="AL76">
            <v>1067.1428571428571</v>
          </cell>
          <cell r="AN76">
            <v>106230</v>
          </cell>
          <cell r="AO76">
            <v>43350</v>
          </cell>
        </row>
        <row r="77">
          <cell r="A77">
            <v>45108</v>
          </cell>
          <cell r="C77">
            <v>149810</v>
          </cell>
          <cell r="P77">
            <v>28380</v>
          </cell>
          <cell r="U77">
            <v>6900</v>
          </cell>
          <cell r="Z77">
            <v>4700</v>
          </cell>
          <cell r="AB77">
            <v>182</v>
          </cell>
          <cell r="AC77">
            <v>6</v>
          </cell>
          <cell r="AE77">
            <v>4</v>
          </cell>
          <cell r="AL77">
            <v>1175</v>
          </cell>
          <cell r="AN77">
            <v>109760</v>
          </cell>
          <cell r="AO77">
            <v>40050</v>
          </cell>
        </row>
        <row r="78">
          <cell r="A78">
            <v>45139</v>
          </cell>
          <cell r="C78">
            <v>159490</v>
          </cell>
          <cell r="P78">
            <v>39160</v>
          </cell>
          <cell r="U78">
            <v>6900</v>
          </cell>
          <cell r="Z78">
            <v>3940</v>
          </cell>
          <cell r="AB78">
            <v>231</v>
          </cell>
          <cell r="AC78">
            <v>6</v>
          </cell>
          <cell r="AE78">
            <v>3</v>
          </cell>
          <cell r="AL78">
            <v>1313.3333333333333</v>
          </cell>
          <cell r="AN78">
            <v>109290</v>
          </cell>
          <cell r="AO78">
            <v>50200</v>
          </cell>
        </row>
        <row r="79">
          <cell r="A79">
            <v>45170</v>
          </cell>
          <cell r="C79">
            <v>178150</v>
          </cell>
          <cell r="P79">
            <v>52140</v>
          </cell>
          <cell r="U79">
            <v>8050</v>
          </cell>
          <cell r="Z79">
            <v>2960</v>
          </cell>
          <cell r="AB79">
            <v>320</v>
          </cell>
          <cell r="AC79">
            <v>7</v>
          </cell>
          <cell r="AE79">
            <v>2</v>
          </cell>
          <cell r="AL79">
            <v>1480</v>
          </cell>
          <cell r="AN79">
            <v>114840</v>
          </cell>
          <cell r="AO79">
            <v>63310</v>
          </cell>
        </row>
        <row r="80">
          <cell r="A80">
            <v>45200</v>
          </cell>
          <cell r="C80">
            <v>172050</v>
          </cell>
          <cell r="P80">
            <v>47810</v>
          </cell>
          <cell r="U80">
            <v>8050</v>
          </cell>
          <cell r="Z80">
            <v>3920</v>
          </cell>
          <cell r="AB80">
            <v>305</v>
          </cell>
          <cell r="AC80">
            <v>7</v>
          </cell>
          <cell r="AE80">
            <v>3</v>
          </cell>
          <cell r="AL80">
            <v>1306.6666666666667</v>
          </cell>
          <cell r="AN80">
            <v>112110</v>
          </cell>
          <cell r="AO80">
            <v>59940</v>
          </cell>
        </row>
        <row r="81">
          <cell r="A81">
            <v>45231</v>
          </cell>
          <cell r="C81">
            <v>164270</v>
          </cell>
          <cell r="P81">
            <v>38000</v>
          </cell>
          <cell r="U81">
            <v>6900</v>
          </cell>
          <cell r="Z81">
            <v>11710</v>
          </cell>
          <cell r="AB81">
            <v>222</v>
          </cell>
          <cell r="AC81">
            <v>6</v>
          </cell>
          <cell r="AE81">
            <v>11</v>
          </cell>
          <cell r="AL81">
            <v>1064.5454545454545</v>
          </cell>
          <cell r="AN81">
            <v>107907.67196119935</v>
          </cell>
          <cell r="AO81">
            <v>56920.080614686987</v>
          </cell>
        </row>
        <row r="82">
          <cell r="A82">
            <v>45261</v>
          </cell>
          <cell r="C82">
            <v>241350</v>
          </cell>
          <cell r="P82">
            <v>36500</v>
          </cell>
          <cell r="U82">
            <v>9200</v>
          </cell>
          <cell r="Z82">
            <v>85980</v>
          </cell>
          <cell r="AB82">
            <v>219</v>
          </cell>
          <cell r="AC82">
            <v>8</v>
          </cell>
          <cell r="AE82">
            <v>87</v>
          </cell>
          <cell r="AL82">
            <v>988.27586206896547</v>
          </cell>
          <cell r="AN82">
            <v>109160</v>
          </cell>
          <cell r="AO82">
            <v>132190</v>
          </cell>
        </row>
        <row r="83">
          <cell r="A83">
            <v>45292</v>
          </cell>
          <cell r="C83">
            <v>204800</v>
          </cell>
          <cell r="P83">
            <v>34480</v>
          </cell>
          <cell r="U83">
            <v>8050</v>
          </cell>
          <cell r="Z83">
            <v>50100</v>
          </cell>
          <cell r="AB83">
            <v>214</v>
          </cell>
          <cell r="AC83">
            <v>7</v>
          </cell>
          <cell r="AE83">
            <v>50</v>
          </cell>
          <cell r="AL83">
            <v>1002</v>
          </cell>
          <cell r="AN83">
            <v>112170</v>
          </cell>
          <cell r="AO83">
            <v>92630</v>
          </cell>
        </row>
        <row r="84">
          <cell r="A84">
            <v>45323</v>
          </cell>
          <cell r="B84" t="str">
            <v>1월사용분</v>
          </cell>
          <cell r="C84">
            <v>269060</v>
          </cell>
          <cell r="P84">
            <v>16980</v>
          </cell>
          <cell r="U84">
            <v>2300</v>
          </cell>
          <cell r="Z84">
            <v>131620</v>
          </cell>
          <cell r="AB84">
            <v>113</v>
          </cell>
          <cell r="AC84">
            <v>2</v>
          </cell>
          <cell r="AE84">
            <v>133</v>
          </cell>
          <cell r="AL84">
            <v>989.62406015037595</v>
          </cell>
          <cell r="AN84">
            <v>118030</v>
          </cell>
          <cell r="AO84">
            <v>151030</v>
          </cell>
        </row>
        <row r="85">
          <cell r="A85">
            <v>45352</v>
          </cell>
          <cell r="B85" t="str">
            <v>2월사용분</v>
          </cell>
          <cell r="C85">
            <v>238910</v>
          </cell>
          <cell r="P85">
            <v>37590</v>
          </cell>
          <cell r="U85">
            <v>9200</v>
          </cell>
          <cell r="Z85">
            <v>72930</v>
          </cell>
          <cell r="AB85">
            <v>250</v>
          </cell>
          <cell r="AC85">
            <v>8</v>
          </cell>
          <cell r="AE85">
            <v>74</v>
          </cell>
          <cell r="AL85">
            <v>985.54054054054052</v>
          </cell>
          <cell r="AN85">
            <v>119050</v>
          </cell>
          <cell r="AO85">
            <v>119860</v>
          </cell>
        </row>
        <row r="86">
          <cell r="A86">
            <v>45383</v>
          </cell>
          <cell r="B86" t="str">
            <v>3월사용분</v>
          </cell>
          <cell r="C86">
            <v>200520</v>
          </cell>
          <cell r="P86">
            <v>33880</v>
          </cell>
          <cell r="U86">
            <v>6900</v>
          </cell>
          <cell r="Z86">
            <v>42450</v>
          </cell>
          <cell r="AB86">
            <v>207</v>
          </cell>
          <cell r="AC86">
            <v>6</v>
          </cell>
          <cell r="AE86">
            <v>42</v>
          </cell>
          <cell r="AL86">
            <v>1010.7142857142857</v>
          </cell>
          <cell r="AN86">
            <v>117090</v>
          </cell>
          <cell r="AO86">
            <v>83430</v>
          </cell>
        </row>
        <row r="87">
          <cell r="A87">
            <v>45413</v>
          </cell>
          <cell r="B87" t="str">
            <v>4월사용분</v>
          </cell>
          <cell r="C87">
            <v>178860</v>
          </cell>
          <cell r="P87">
            <v>33360</v>
          </cell>
          <cell r="U87">
            <v>8050</v>
          </cell>
          <cell r="Z87">
            <v>8200</v>
          </cell>
          <cell r="AB87">
            <v>227</v>
          </cell>
          <cell r="AC87">
            <v>7</v>
          </cell>
          <cell r="AE87">
            <v>7</v>
          </cell>
          <cell r="AL87">
            <v>1171.4285714285713</v>
          </cell>
          <cell r="AN87">
            <v>128850</v>
          </cell>
          <cell r="AO87">
            <v>50010</v>
          </cell>
        </row>
        <row r="88">
          <cell r="A88">
            <v>45444</v>
          </cell>
          <cell r="B88" t="str">
            <v>5월사용분</v>
          </cell>
          <cell r="C88">
            <v>158700</v>
          </cell>
          <cell r="P88">
            <v>28520</v>
          </cell>
          <cell r="U88">
            <v>9200</v>
          </cell>
          <cell r="Z88">
            <v>6240</v>
          </cell>
          <cell r="AB88">
            <v>201</v>
          </cell>
          <cell r="AC88">
            <v>8</v>
          </cell>
          <cell r="AE88">
            <v>5</v>
          </cell>
          <cell r="AL88">
            <v>1248</v>
          </cell>
          <cell r="AN88">
            <v>114580</v>
          </cell>
          <cell r="AO88">
            <v>44120</v>
          </cell>
        </row>
        <row r="89">
          <cell r="A89">
            <v>45474</v>
          </cell>
          <cell r="B89" t="str">
            <v>6월사용분</v>
          </cell>
          <cell r="C89">
            <v>166050</v>
          </cell>
          <cell r="P89">
            <v>30690</v>
          </cell>
          <cell r="U89">
            <v>9200</v>
          </cell>
          <cell r="Z89">
            <v>4290</v>
          </cell>
          <cell r="AB89">
            <v>211</v>
          </cell>
          <cell r="AC89">
            <v>8</v>
          </cell>
          <cell r="AE89">
            <v>3</v>
          </cell>
          <cell r="AL89">
            <v>1430</v>
          </cell>
          <cell r="AN89">
            <v>121440</v>
          </cell>
          <cell r="AO89">
            <v>44610</v>
          </cell>
        </row>
        <row r="90">
          <cell r="A90">
            <v>45505</v>
          </cell>
          <cell r="B90" t="str">
            <v>7월사용분</v>
          </cell>
          <cell r="C90">
            <v>174550</v>
          </cell>
          <cell r="P90">
            <v>38750</v>
          </cell>
          <cell r="U90">
            <v>8050</v>
          </cell>
          <cell r="Z90">
            <v>2350</v>
          </cell>
          <cell r="AB90">
            <v>255</v>
          </cell>
          <cell r="AC90">
            <v>7</v>
          </cell>
          <cell r="AE90">
            <v>1</v>
          </cell>
          <cell r="AL90">
            <v>2350</v>
          </cell>
          <cell r="AN90">
            <v>125280</v>
          </cell>
          <cell r="AO90">
            <v>49270</v>
          </cell>
        </row>
        <row r="91">
          <cell r="A91">
            <v>45536</v>
          </cell>
          <cell r="B91" t="str">
            <v>8월사용분</v>
          </cell>
          <cell r="C91">
            <v>190910</v>
          </cell>
          <cell r="P91">
            <v>55040</v>
          </cell>
          <cell r="U91">
            <v>8050</v>
          </cell>
          <cell r="Z91">
            <v>1370</v>
          </cell>
          <cell r="AB91">
            <v>363</v>
          </cell>
          <cell r="AC91">
            <v>7</v>
          </cell>
          <cell r="AE91">
            <v>0.49</v>
          </cell>
          <cell r="AL91">
            <v>2795.9183673469388</v>
          </cell>
          <cell r="AN91">
            <v>126330</v>
          </cell>
          <cell r="AO91">
            <v>64580</v>
          </cell>
        </row>
        <row r="92">
          <cell r="A92">
            <v>45566</v>
          </cell>
          <cell r="B92" t="str">
            <v>9월사용분</v>
          </cell>
          <cell r="C92">
            <v>195670</v>
          </cell>
          <cell r="P92">
            <v>58610</v>
          </cell>
          <cell r="U92">
            <v>8050</v>
          </cell>
          <cell r="Z92">
            <v>1370</v>
          </cell>
          <cell r="AB92">
            <v>371</v>
          </cell>
          <cell r="AC92">
            <v>7</v>
          </cell>
          <cell r="AE92">
            <v>0.49</v>
          </cell>
          <cell r="AL92">
            <v>2795.9183673469388</v>
          </cell>
          <cell r="AN92">
            <v>127640</v>
          </cell>
          <cell r="AO92">
            <v>68030</v>
          </cell>
        </row>
        <row r="93">
          <cell r="A93">
            <v>45597</v>
          </cell>
          <cell r="B93" t="str">
            <v>10월사용분</v>
          </cell>
          <cell r="C93">
            <v>193350</v>
          </cell>
          <cell r="P93">
            <v>47440</v>
          </cell>
          <cell r="U93">
            <v>9200</v>
          </cell>
          <cell r="Z93">
            <v>6600</v>
          </cell>
          <cell r="AB93">
            <v>291</v>
          </cell>
          <cell r="AC93">
            <v>8</v>
          </cell>
          <cell r="AE93">
            <v>5</v>
          </cell>
          <cell r="AL93">
            <v>1320</v>
          </cell>
          <cell r="AN93">
            <v>130110</v>
          </cell>
          <cell r="AO93">
            <v>63240</v>
          </cell>
        </row>
        <row r="94">
          <cell r="A94">
            <v>45627</v>
          </cell>
          <cell r="B94" t="str">
            <v>11월사용분</v>
          </cell>
          <cell r="C94">
            <v>212290</v>
          </cell>
          <cell r="P94">
            <v>29830</v>
          </cell>
          <cell r="U94">
            <v>6900</v>
          </cell>
          <cell r="Z94">
            <v>47280</v>
          </cell>
          <cell r="AB94">
            <v>208</v>
          </cell>
          <cell r="AC94">
            <v>6</v>
          </cell>
          <cell r="AE94">
            <v>44</v>
          </cell>
          <cell r="AL94">
            <v>1074.5454545454545</v>
          </cell>
          <cell r="AN94">
            <v>128280</v>
          </cell>
          <cell r="AO94">
            <v>84010</v>
          </cell>
        </row>
        <row r="95">
          <cell r="A95">
            <v>45658</v>
          </cell>
          <cell r="B95" t="str">
            <v>12월사용분</v>
          </cell>
          <cell r="C95">
            <v>277090</v>
          </cell>
          <cell r="P95">
            <v>31400</v>
          </cell>
          <cell r="U95">
            <v>8050</v>
          </cell>
          <cell r="Z95">
            <v>111620</v>
          </cell>
          <cell r="AB95">
            <v>215</v>
          </cell>
          <cell r="AC95">
            <v>7</v>
          </cell>
          <cell r="AE95">
            <v>109</v>
          </cell>
          <cell r="AL95">
            <v>1024.0366972477063</v>
          </cell>
          <cell r="AN95">
            <v>126020</v>
          </cell>
          <cell r="AO95">
            <v>151070</v>
          </cell>
        </row>
        <row r="96">
          <cell r="A96">
            <v>45689</v>
          </cell>
          <cell r="B96" t="str">
            <v>1월사용분</v>
          </cell>
          <cell r="C96">
            <v>329190</v>
          </cell>
          <cell r="P96">
            <v>40540</v>
          </cell>
          <cell r="U96">
            <v>8050</v>
          </cell>
          <cell r="Z96">
            <v>150180</v>
          </cell>
          <cell r="AB96">
            <v>258</v>
          </cell>
          <cell r="AC96">
            <v>7</v>
          </cell>
          <cell r="AE96">
            <v>142</v>
          </cell>
          <cell r="AL96">
            <v>1057.605633802817</v>
          </cell>
          <cell r="AN96">
            <v>130370</v>
          </cell>
          <cell r="AO96">
            <v>198820</v>
          </cell>
        </row>
        <row r="97">
          <cell r="A97">
            <v>45717</v>
          </cell>
          <cell r="B97" t="str">
            <v>2월사용분</v>
          </cell>
          <cell r="C97">
            <v>289250</v>
          </cell>
          <cell r="P97">
            <v>43270</v>
          </cell>
          <cell r="U97">
            <v>8050</v>
          </cell>
          <cell r="Z97">
            <v>102660</v>
          </cell>
          <cell r="AB97">
            <v>271</v>
          </cell>
          <cell r="AC97">
            <v>7</v>
          </cell>
          <cell r="AE97">
            <v>97</v>
          </cell>
          <cell r="AL97">
            <v>1058.3505154639174</v>
          </cell>
          <cell r="AN97">
            <v>135000</v>
          </cell>
          <cell r="AO97">
            <v>154250</v>
          </cell>
        </row>
        <row r="98">
          <cell r="A98">
            <v>45748</v>
          </cell>
          <cell r="B98" t="str">
            <v>3월사용분</v>
          </cell>
          <cell r="C98">
            <v>225630</v>
          </cell>
          <cell r="P98">
            <v>33250</v>
          </cell>
          <cell r="U98">
            <v>5750</v>
          </cell>
          <cell r="Z98">
            <v>56600</v>
          </cell>
          <cell r="AB98">
            <v>224</v>
          </cell>
          <cell r="AC98">
            <v>5</v>
          </cell>
          <cell r="AE98">
            <v>53</v>
          </cell>
          <cell r="AL98">
            <v>1067.9245283018868</v>
          </cell>
          <cell r="AN98">
            <v>130030</v>
          </cell>
          <cell r="AO98">
            <v>95600</v>
          </cell>
        </row>
        <row r="99">
          <cell r="A99">
            <v>45778</v>
          </cell>
          <cell r="B99" t="str">
            <v>4월사용분</v>
          </cell>
          <cell r="C99">
            <v>184100</v>
          </cell>
          <cell r="P99">
            <v>32450</v>
          </cell>
          <cell r="U99">
            <v>8050</v>
          </cell>
          <cell r="Z99">
            <v>12780</v>
          </cell>
          <cell r="AB99">
            <v>220</v>
          </cell>
          <cell r="AC99">
            <v>7</v>
          </cell>
          <cell r="AE99">
            <v>11</v>
          </cell>
          <cell r="AL99">
            <v>1161.8181818181818</v>
          </cell>
          <cell r="AN99">
            <v>130650</v>
          </cell>
          <cell r="AO99">
            <v>53450</v>
          </cell>
        </row>
        <row r="100">
          <cell r="A100">
            <v>45809</v>
          </cell>
          <cell r="B100" t="str">
            <v>5월사용분</v>
          </cell>
          <cell r="C100">
            <v>169520</v>
          </cell>
          <cell r="P100">
            <v>27600</v>
          </cell>
          <cell r="U100">
            <v>6900</v>
          </cell>
          <cell r="Z100">
            <v>6190</v>
          </cell>
          <cell r="AB100">
            <v>200</v>
          </cell>
          <cell r="AC100">
            <v>6</v>
          </cell>
          <cell r="AE100">
            <v>6</v>
          </cell>
          <cell r="AL100">
            <v>1031.6666666666667</v>
          </cell>
          <cell r="AN100">
            <v>128700</v>
          </cell>
          <cell r="AO100">
            <v>40820</v>
          </cell>
        </row>
        <row r="101">
          <cell r="A101">
            <v>45839</v>
          </cell>
          <cell r="B101" t="str">
            <v>6월사용분</v>
          </cell>
          <cell r="C101">
            <v>177120</v>
          </cell>
          <cell r="P101">
            <v>36520</v>
          </cell>
          <cell r="U101">
            <v>9200</v>
          </cell>
          <cell r="Z101">
            <v>2350</v>
          </cell>
          <cell r="AB101">
            <v>239</v>
          </cell>
          <cell r="AC101">
            <v>8</v>
          </cell>
          <cell r="AE101">
            <v>1</v>
          </cell>
          <cell r="AL101">
            <v>2350</v>
          </cell>
          <cell r="AN101">
            <v>128680</v>
          </cell>
          <cell r="AO101">
            <v>48440</v>
          </cell>
        </row>
        <row r="102">
          <cell r="A102">
            <v>45870</v>
          </cell>
          <cell r="B102" t="str">
            <v>7월사용분</v>
          </cell>
          <cell r="C102">
            <v>191100</v>
          </cell>
          <cell r="P102">
            <v>49420</v>
          </cell>
          <cell r="U102">
            <v>8050</v>
          </cell>
          <cell r="Z102">
            <v>1370</v>
          </cell>
          <cell r="AB102">
            <v>310</v>
          </cell>
          <cell r="AC102">
            <v>7</v>
          </cell>
          <cell r="AE102">
            <v>0</v>
          </cell>
          <cell r="AL102">
            <v>1370</v>
          </cell>
          <cell r="AN102">
            <v>131970</v>
          </cell>
          <cell r="AO102">
            <v>59130</v>
          </cell>
        </row>
        <row r="103">
          <cell r="A103">
            <v>45901</v>
          </cell>
          <cell r="B103" t="str">
            <v>8월사용분</v>
          </cell>
          <cell r="C103">
            <v>204510</v>
          </cell>
          <cell r="P103">
            <v>62370</v>
          </cell>
          <cell r="U103">
            <v>8050</v>
          </cell>
          <cell r="Z103">
            <v>1370</v>
          </cell>
          <cell r="AB103">
            <v>399</v>
          </cell>
          <cell r="AC103">
            <v>7</v>
          </cell>
          <cell r="AE103">
            <v>0</v>
          </cell>
          <cell r="AL103">
            <v>1370</v>
          </cell>
          <cell r="AN103">
            <v>132610</v>
          </cell>
          <cell r="AO103">
            <v>71900</v>
          </cell>
        </row>
        <row r="104">
          <cell r="A104">
            <v>45931</v>
          </cell>
          <cell r="B104" t="str">
            <v>9월사용분</v>
          </cell>
          <cell r="C104">
            <v>198150</v>
          </cell>
          <cell r="P104">
            <v>55990</v>
          </cell>
          <cell r="U104">
            <v>9200</v>
          </cell>
          <cell r="Z104">
            <v>1370</v>
          </cell>
          <cell r="AB104">
            <v>360</v>
          </cell>
          <cell r="AC104">
            <v>8</v>
          </cell>
          <cell r="AE104">
            <v>0</v>
          </cell>
          <cell r="AL104">
            <v>1370</v>
          </cell>
          <cell r="AN104">
            <v>131590</v>
          </cell>
          <cell r="AO104">
            <v>66560</v>
          </cell>
        </row>
        <row r="105">
          <cell r="A105">
            <v>45962</v>
          </cell>
          <cell r="B105" t="str">
            <v>10월사용분</v>
          </cell>
          <cell r="C105">
            <v>185550</v>
          </cell>
          <cell r="P105">
            <v>32620</v>
          </cell>
          <cell r="U105">
            <v>8050</v>
          </cell>
          <cell r="Z105">
            <v>13480</v>
          </cell>
          <cell r="AB105">
            <v>222</v>
          </cell>
          <cell r="AC105">
            <v>7</v>
          </cell>
          <cell r="AE105">
            <v>13</v>
          </cell>
          <cell r="AL105">
            <v>1036.9230769230769</v>
          </cell>
          <cell r="AN105">
            <v>131150</v>
          </cell>
          <cell r="AO105">
            <v>54400</v>
          </cell>
        </row>
        <row r="106">
          <cell r="A106">
            <v>45992</v>
          </cell>
          <cell r="B106" t="str">
            <v>11월사용분</v>
          </cell>
          <cell r="C106">
            <v>222090</v>
          </cell>
          <cell r="P106">
            <v>27170</v>
          </cell>
          <cell r="U106">
            <v>8050</v>
          </cell>
          <cell r="Z106">
            <v>58570</v>
          </cell>
          <cell r="AB106">
            <v>209</v>
          </cell>
          <cell r="AC106">
            <v>7</v>
          </cell>
          <cell r="AE106">
            <v>55</v>
          </cell>
          <cell r="AL106">
            <v>1064.909090909091</v>
          </cell>
          <cell r="AN106">
            <v>128300</v>
          </cell>
          <cell r="AO106">
            <v>93790</v>
          </cell>
        </row>
        <row r="107">
          <cell r="A107">
            <v>46023</v>
          </cell>
          <cell r="B107" t="str">
            <v>12월사용분</v>
          </cell>
          <cell r="C107">
            <v>266610</v>
          </cell>
          <cell r="P107">
            <v>32320</v>
          </cell>
          <cell r="U107">
            <v>8050</v>
          </cell>
          <cell r="Z107">
            <v>97120</v>
          </cell>
          <cell r="AB107">
            <v>220</v>
          </cell>
          <cell r="AC107">
            <v>7</v>
          </cell>
          <cell r="AE107">
            <v>92</v>
          </cell>
          <cell r="AL107">
            <v>1055.6521739130435</v>
          </cell>
          <cell r="AN107">
            <v>128990</v>
          </cell>
          <cell r="AO107">
            <v>137620</v>
          </cell>
        </row>
        <row r="108">
          <cell r="A108">
            <v>46054</v>
          </cell>
          <cell r="B108" t="str">
            <v>1월사용분</v>
          </cell>
          <cell r="C108">
            <v>313170</v>
          </cell>
          <cell r="P108">
            <v>35070</v>
          </cell>
          <cell r="U108">
            <v>6900</v>
          </cell>
          <cell r="Z108">
            <v>133600</v>
          </cell>
          <cell r="AB108">
            <v>233</v>
          </cell>
          <cell r="AC108">
            <v>6</v>
          </cell>
          <cell r="AE108">
            <v>127</v>
          </cell>
          <cell r="AL108">
            <v>1051.9685039370079</v>
          </cell>
          <cell r="AN108">
            <v>137470</v>
          </cell>
          <cell r="AO108">
            <v>175700</v>
          </cell>
        </row>
        <row r="109">
          <cell r="A109">
            <v>46082</v>
          </cell>
          <cell r="B109" t="str">
            <v>2월사용분</v>
          </cell>
          <cell r="C109">
            <v>266210</v>
          </cell>
          <cell r="P109">
            <v>38020</v>
          </cell>
          <cell r="U109">
            <v>6900</v>
          </cell>
          <cell r="Z109">
            <v>81650</v>
          </cell>
          <cell r="AB109">
            <v>247</v>
          </cell>
          <cell r="AC109">
            <v>6</v>
          </cell>
          <cell r="AE109">
            <v>77</v>
          </cell>
          <cell r="AL109">
            <v>1060.3896103896104</v>
          </cell>
          <cell r="AN109">
            <v>139510</v>
          </cell>
          <cell r="AO109">
            <v>126700</v>
          </cell>
        </row>
        <row r="110">
          <cell r="A110">
            <v>46113</v>
          </cell>
          <cell r="B110" t="str">
            <v>3월사용분</v>
          </cell>
          <cell r="C110">
            <v>224700</v>
          </cell>
          <cell r="P110">
            <v>30600</v>
          </cell>
          <cell r="U110">
            <v>8050</v>
          </cell>
          <cell r="Z110">
            <v>50480</v>
          </cell>
          <cell r="AB110">
            <v>216</v>
          </cell>
          <cell r="AC110">
            <v>7</v>
          </cell>
          <cell r="AE110">
            <v>47</v>
          </cell>
          <cell r="AL110">
            <v>1074.0425531914893</v>
          </cell>
          <cell r="AN110">
            <v>135570</v>
          </cell>
          <cell r="AO110">
            <v>89130</v>
          </cell>
        </row>
        <row r="111">
          <cell r="A111">
            <v>46143</v>
          </cell>
          <cell r="B111" t="str">
            <v>4월사용분</v>
          </cell>
          <cell r="C111">
            <v>190080</v>
          </cell>
          <cell r="P111">
            <v>32520</v>
          </cell>
          <cell r="U111">
            <v>8050</v>
          </cell>
          <cell r="Z111">
            <v>12830</v>
          </cell>
          <cell r="AB111">
            <v>221</v>
          </cell>
          <cell r="AC111">
            <v>7</v>
          </cell>
          <cell r="AE111">
            <v>11</v>
          </cell>
          <cell r="AL111">
            <v>1166.3636363636363</v>
          </cell>
          <cell r="AN111">
            <v>136680</v>
          </cell>
          <cell r="AO111">
            <v>53400</v>
          </cell>
        </row>
        <row r="112">
          <cell r="A112">
            <v>46174</v>
          </cell>
          <cell r="B112" t="str">
            <v>5월사용분</v>
          </cell>
          <cell r="C112">
            <v>171860</v>
          </cell>
          <cell r="P112">
            <v>26940</v>
          </cell>
          <cell r="U112">
            <v>6900</v>
          </cell>
          <cell r="Z112">
            <v>7060</v>
          </cell>
          <cell r="AB112">
            <v>196</v>
          </cell>
          <cell r="AC112">
            <v>6</v>
          </cell>
          <cell r="AE112">
            <v>5</v>
          </cell>
          <cell r="AL112">
            <v>1412</v>
          </cell>
          <cell r="AN112">
            <v>130760</v>
          </cell>
          <cell r="AO112">
            <v>41100</v>
          </cell>
        </row>
        <row r="113">
          <cell r="A113">
            <v>46204</v>
          </cell>
          <cell r="B113" t="str">
            <v>6월사용분</v>
          </cell>
          <cell r="C113">
            <v>179340</v>
          </cell>
          <cell r="P113">
            <v>28310</v>
          </cell>
          <cell r="U113">
            <v>9200</v>
          </cell>
          <cell r="Z113">
            <v>3970</v>
          </cell>
          <cell r="AB113">
            <v>201</v>
          </cell>
          <cell r="AC113">
            <v>8</v>
          </cell>
          <cell r="AE113">
            <v>2</v>
          </cell>
          <cell r="AL113">
            <v>1985</v>
          </cell>
          <cell r="AN113">
            <v>137550</v>
          </cell>
          <cell r="AO113">
            <v>41790</v>
          </cell>
        </row>
        <row r="114">
          <cell r="A114">
            <v>46235</v>
          </cell>
          <cell r="B114" t="str">
            <v>7월사용분</v>
          </cell>
          <cell r="C114">
            <v>186290</v>
          </cell>
          <cell r="P114">
            <v>31200</v>
          </cell>
          <cell r="U114">
            <v>8050</v>
          </cell>
          <cell r="Z114">
            <v>3970</v>
          </cell>
          <cell r="AB114">
            <v>214</v>
          </cell>
          <cell r="AC114">
            <v>7</v>
          </cell>
          <cell r="AE114">
            <v>2</v>
          </cell>
          <cell r="AL114">
            <v>1985</v>
          </cell>
          <cell r="AN114">
            <v>142880</v>
          </cell>
          <cell r="AO114">
            <v>43415</v>
          </cell>
        </row>
        <row r="115">
          <cell r="A115">
            <v>46266</v>
          </cell>
          <cell r="B115" t="str">
            <v>8월사용분</v>
          </cell>
          <cell r="C115">
            <v>200480</v>
          </cell>
          <cell r="P115">
            <v>43760</v>
          </cell>
          <cell r="U115">
            <v>8050</v>
          </cell>
          <cell r="Z115">
            <v>3970</v>
          </cell>
          <cell r="AB115">
            <v>291</v>
          </cell>
          <cell r="AC115">
            <v>7</v>
          </cell>
          <cell r="AE115">
            <v>2</v>
          </cell>
          <cell r="AL115">
            <v>1985</v>
          </cell>
          <cell r="AN115">
            <v>144510</v>
          </cell>
          <cell r="AO115">
            <v>55975</v>
          </cell>
        </row>
        <row r="116">
          <cell r="A116">
            <v>46296</v>
          </cell>
          <cell r="B116" t="str">
            <v>9월사용분</v>
          </cell>
          <cell r="C116">
            <v>205020</v>
          </cell>
          <cell r="P116">
            <v>46940</v>
          </cell>
          <cell r="U116">
            <v>8050</v>
          </cell>
          <cell r="Z116">
            <v>3970</v>
          </cell>
          <cell r="AB116">
            <v>325</v>
          </cell>
          <cell r="AC116">
            <v>7</v>
          </cell>
          <cell r="AE116">
            <v>2</v>
          </cell>
          <cell r="AL116">
            <v>1985</v>
          </cell>
          <cell r="AN116">
            <v>145870</v>
          </cell>
          <cell r="AO116">
            <v>59155</v>
          </cell>
        </row>
        <row r="117">
          <cell r="A117">
            <v>46327</v>
          </cell>
          <cell r="B117" t="str">
            <v>10월사용분</v>
          </cell>
          <cell r="C117">
            <v>212895</v>
          </cell>
          <cell r="P117">
            <v>34590</v>
          </cell>
          <cell r="U117">
            <v>8050</v>
          </cell>
          <cell r="Z117">
            <v>25805</v>
          </cell>
          <cell r="AB117">
            <v>230</v>
          </cell>
          <cell r="AC117">
            <v>7</v>
          </cell>
          <cell r="AE117">
            <v>13</v>
          </cell>
          <cell r="AL117">
            <v>1985</v>
          </cell>
          <cell r="AN117">
            <v>144260</v>
          </cell>
          <cell r="AO117">
            <v>68640</v>
          </cell>
        </row>
        <row r="118">
          <cell r="A118">
            <v>46357</v>
          </cell>
          <cell r="B118" t="str">
            <v>11월사용분</v>
          </cell>
          <cell r="C118">
            <v>285010</v>
          </cell>
          <cell r="P118">
            <v>31410</v>
          </cell>
          <cell r="U118">
            <v>8050</v>
          </cell>
          <cell r="Z118">
            <v>107190</v>
          </cell>
          <cell r="AB118">
            <v>215</v>
          </cell>
          <cell r="AC118">
            <v>7</v>
          </cell>
          <cell r="AE118">
            <v>54</v>
          </cell>
          <cell r="AL118">
            <v>1985</v>
          </cell>
          <cell r="AN118">
            <v>138170</v>
          </cell>
          <cell r="AO118">
            <v>146845</v>
          </cell>
        </row>
        <row r="119">
          <cell r="A119">
            <v>46388</v>
          </cell>
          <cell r="B119" t="str">
            <v>12월사용분</v>
          </cell>
          <cell r="C119">
            <v>316640</v>
          </cell>
          <cell r="P119">
            <v>35524.778480000001</v>
          </cell>
          <cell r="U119">
            <v>8190</v>
          </cell>
          <cell r="Z119">
            <v>131300</v>
          </cell>
          <cell r="AB119">
            <v>214</v>
          </cell>
          <cell r="AC119">
            <v>7</v>
          </cell>
          <cell r="AE119">
            <v>130</v>
          </cell>
          <cell r="AL119">
            <v>1010</v>
          </cell>
          <cell r="AN119">
            <v>141440</v>
          </cell>
          <cell r="AO119">
            <v>175209.77848000001</v>
          </cell>
        </row>
        <row r="120">
          <cell r="A120">
            <v>46419</v>
          </cell>
          <cell r="C120">
            <v>323090</v>
          </cell>
          <cell r="P120">
            <v>37156.483497345136</v>
          </cell>
          <cell r="U120">
            <v>8260</v>
          </cell>
          <cell r="Z120">
            <v>132600</v>
          </cell>
          <cell r="AN120">
            <v>144884.625</v>
          </cell>
          <cell r="AO120">
            <v>178211.48349734512</v>
          </cell>
        </row>
        <row r="121">
          <cell r="A121">
            <v>46447</v>
          </cell>
          <cell r="C121">
            <v>302540</v>
          </cell>
          <cell r="P121">
            <v>38729.014590000006</v>
          </cell>
          <cell r="U121">
            <v>8260</v>
          </cell>
          <cell r="Z121">
            <v>110160</v>
          </cell>
          <cell r="AN121">
            <v>145204.625</v>
          </cell>
          <cell r="AO121">
            <v>157344.01459000001</v>
          </cell>
        </row>
        <row r="122">
          <cell r="A122">
            <v>46478</v>
          </cell>
          <cell r="C122">
            <v>252690</v>
          </cell>
          <cell r="P122">
            <v>34906.597880000008</v>
          </cell>
          <cell r="U122">
            <v>8260</v>
          </cell>
          <cell r="Z122">
            <v>67320</v>
          </cell>
          <cell r="AN122">
            <v>142014.625</v>
          </cell>
          <cell r="AO122">
            <v>110681.59788000002</v>
          </cell>
        </row>
        <row r="123">
          <cell r="A123">
            <v>46508</v>
          </cell>
          <cell r="C123">
            <v>206880</v>
          </cell>
          <cell r="P123">
            <v>34370.841359999999</v>
          </cell>
          <cell r="U123">
            <v>8260</v>
          </cell>
          <cell r="Z123">
            <v>17340</v>
          </cell>
          <cell r="AN123">
            <v>146714.625</v>
          </cell>
          <cell r="AO123">
            <v>60165.841359999999</v>
          </cell>
        </row>
        <row r="124">
          <cell r="A124">
            <v>46539</v>
          </cell>
          <cell r="C124">
            <v>189380</v>
          </cell>
          <cell r="P124">
            <v>29384.184519999999</v>
          </cell>
          <cell r="U124">
            <v>8260</v>
          </cell>
          <cell r="Z124">
            <v>11220</v>
          </cell>
          <cell r="AN124">
            <v>140324.625</v>
          </cell>
          <cell r="AO124">
            <v>49059.184519999995</v>
          </cell>
        </row>
        <row r="125">
          <cell r="A125">
            <v>46569</v>
          </cell>
          <cell r="C125">
            <v>186570</v>
          </cell>
          <cell r="P125">
            <v>31619.937689999992</v>
          </cell>
          <cell r="U125">
            <v>8260</v>
          </cell>
          <cell r="Z125">
            <v>4080</v>
          </cell>
          <cell r="AN125">
            <v>142424.625</v>
          </cell>
          <cell r="AO125">
            <v>44154.937689999992</v>
          </cell>
        </row>
        <row r="126">
          <cell r="A126">
            <v>46600</v>
          </cell>
          <cell r="C126">
            <v>196510</v>
          </cell>
          <cell r="P126">
            <v>39924.163750000007</v>
          </cell>
          <cell r="U126">
            <v>8260</v>
          </cell>
          <cell r="Z126">
            <v>4080</v>
          </cell>
          <cell r="AN126">
            <v>144054.625</v>
          </cell>
          <cell r="AO126">
            <v>52459.163750000007</v>
          </cell>
        </row>
        <row r="127">
          <cell r="A127">
            <v>46631</v>
          </cell>
          <cell r="C127">
            <v>214940</v>
          </cell>
          <cell r="P127">
            <v>56707.767040000006</v>
          </cell>
          <cell r="U127">
            <v>8260</v>
          </cell>
          <cell r="Z127">
            <v>4080</v>
          </cell>
          <cell r="AN127">
            <v>145704.625</v>
          </cell>
          <cell r="AO127">
            <v>69242.767040000006</v>
          </cell>
        </row>
        <row r="128">
          <cell r="A128">
            <v>46661</v>
          </cell>
          <cell r="C128">
            <v>221010</v>
          </cell>
          <cell r="P128">
            <v>60385.941610000009</v>
          </cell>
          <cell r="U128">
            <v>8260</v>
          </cell>
          <cell r="Z128">
            <v>5100</v>
          </cell>
          <cell r="AN128">
            <v>147074.625</v>
          </cell>
          <cell r="AO128">
            <v>73940.941610000009</v>
          </cell>
        </row>
        <row r="129">
          <cell r="A129">
            <v>46692</v>
          </cell>
          <cell r="C129">
            <v>221130</v>
          </cell>
          <cell r="P129">
            <v>48877.479439999996</v>
          </cell>
          <cell r="U129">
            <v>8260</v>
          </cell>
          <cell r="Z129">
            <v>18360</v>
          </cell>
          <cell r="AN129">
            <v>145444.625</v>
          </cell>
          <cell r="AO129">
            <v>75692.479439999996</v>
          </cell>
        </row>
        <row r="130">
          <cell r="A130">
            <v>46722</v>
          </cell>
          <cell r="C130">
            <v>240810</v>
          </cell>
          <cell r="P130">
            <v>37982.046365000002</v>
          </cell>
          <cell r="U130">
            <v>8260</v>
          </cell>
          <cell r="Z130">
            <v>55080</v>
          </cell>
          <cell r="AN130">
            <v>139294.625</v>
          </cell>
          <cell r="AO130">
            <v>101517.046365</v>
          </cell>
        </row>
        <row r="131">
          <cell r="A131">
            <v>46753</v>
          </cell>
          <cell r="C131">
            <v>319790</v>
          </cell>
          <cell r="P131">
            <v>35880.026264800006</v>
          </cell>
          <cell r="U131">
            <v>8260</v>
          </cell>
          <cell r="Z131">
            <v>132600</v>
          </cell>
          <cell r="AN131">
            <v>142857.22500000001</v>
          </cell>
          <cell r="AO131">
            <v>176935.02626479999</v>
          </cell>
        </row>
        <row r="132">
          <cell r="A132">
            <v>46784</v>
          </cell>
          <cell r="C132">
            <v>326290</v>
          </cell>
          <cell r="P132">
            <v>37528.048332318591</v>
          </cell>
          <cell r="U132">
            <v>8330</v>
          </cell>
          <cell r="Z132">
            <v>133900</v>
          </cell>
          <cell r="AN132">
            <v>146337.40781249999</v>
          </cell>
          <cell r="AO132">
            <v>179953.04833231861</v>
          </cell>
        </row>
        <row r="133">
          <cell r="A133">
            <v>46813</v>
          </cell>
          <cell r="C133">
            <v>305530</v>
          </cell>
          <cell r="P133">
            <v>39116.304735900012</v>
          </cell>
          <cell r="U133">
            <v>8330</v>
          </cell>
          <cell r="Z133">
            <v>111240</v>
          </cell>
          <cell r="AN133">
            <v>146657.40781249999</v>
          </cell>
          <cell r="AO133">
            <v>158881.30473590002</v>
          </cell>
        </row>
        <row r="134">
          <cell r="A134">
            <v>46844</v>
          </cell>
          <cell r="C134">
            <v>255190</v>
          </cell>
          <cell r="P134">
            <v>35255.663858800006</v>
          </cell>
          <cell r="U134">
            <v>8330</v>
          </cell>
          <cell r="Z134">
            <v>67980</v>
          </cell>
          <cell r="AN134">
            <v>143437.40781249999</v>
          </cell>
          <cell r="AO134">
            <v>111760.66385880001</v>
          </cell>
        </row>
        <row r="135">
          <cell r="A135">
            <v>46874</v>
          </cell>
          <cell r="C135">
            <v>208930</v>
          </cell>
          <cell r="P135">
            <v>34714.549773600003</v>
          </cell>
          <cell r="U135">
            <v>8330</v>
          </cell>
          <cell r="Z135">
            <v>17510</v>
          </cell>
          <cell r="AN135">
            <v>148187.40781249999</v>
          </cell>
          <cell r="AO135">
            <v>60749.549773600003</v>
          </cell>
        </row>
        <row r="136">
          <cell r="A136">
            <v>46905</v>
          </cell>
          <cell r="C136">
            <v>191260</v>
          </cell>
          <cell r="P136">
            <v>29678.026365199996</v>
          </cell>
          <cell r="U136">
            <v>8330</v>
          </cell>
          <cell r="Z136">
            <v>11330</v>
          </cell>
          <cell r="AN136">
            <v>141727.40781249999</v>
          </cell>
          <cell r="AO136">
            <v>49533.026365199999</v>
          </cell>
        </row>
        <row r="137">
          <cell r="A137">
            <v>46935</v>
          </cell>
          <cell r="C137">
            <v>188430</v>
          </cell>
          <cell r="P137">
            <v>31936.137066899988</v>
          </cell>
          <cell r="U137">
            <v>8330</v>
          </cell>
          <cell r="Z137">
            <v>4120</v>
          </cell>
          <cell r="AN137">
            <v>143857.40781249999</v>
          </cell>
          <cell r="AO137">
            <v>44581.137066899988</v>
          </cell>
        </row>
        <row r="138">
          <cell r="A138">
            <v>46966</v>
          </cell>
          <cell r="C138">
            <v>198460</v>
          </cell>
          <cell r="P138">
            <v>40323.40538750001</v>
          </cell>
          <cell r="U138">
            <v>8330</v>
          </cell>
          <cell r="Z138">
            <v>4120</v>
          </cell>
          <cell r="AN138">
            <v>145497.40781249999</v>
          </cell>
          <cell r="AO138">
            <v>52968.40538750001</v>
          </cell>
        </row>
        <row r="139">
          <cell r="A139">
            <v>46997</v>
          </cell>
          <cell r="C139">
            <v>217080</v>
          </cell>
          <cell r="P139">
            <v>57274.844710400001</v>
          </cell>
          <cell r="U139">
            <v>8330</v>
          </cell>
          <cell r="Z139">
            <v>4120</v>
          </cell>
          <cell r="AN139">
            <v>147167.40781249999</v>
          </cell>
          <cell r="AO139">
            <v>69919.844710400008</v>
          </cell>
        </row>
        <row r="140">
          <cell r="A140">
            <v>47027</v>
          </cell>
          <cell r="C140">
            <v>223210</v>
          </cell>
          <cell r="P140">
            <v>60989.801026100009</v>
          </cell>
          <cell r="U140">
            <v>8330</v>
          </cell>
          <cell r="Z140">
            <v>5150</v>
          </cell>
          <cell r="AN140">
            <v>148547.40781249999</v>
          </cell>
          <cell r="AO140">
            <v>74664.801026100002</v>
          </cell>
        </row>
        <row r="141">
          <cell r="A141">
            <v>47058</v>
          </cell>
          <cell r="C141">
            <v>223330</v>
          </cell>
          <cell r="P141">
            <v>49366.254234400003</v>
          </cell>
          <cell r="U141">
            <v>8330</v>
          </cell>
          <cell r="Z141">
            <v>18540</v>
          </cell>
          <cell r="AN141">
            <v>146907.40781249999</v>
          </cell>
          <cell r="AO141">
            <v>76431.254234399996</v>
          </cell>
        </row>
        <row r="142">
          <cell r="A142">
            <v>47088</v>
          </cell>
          <cell r="C142">
            <v>243190</v>
          </cell>
          <cell r="P142">
            <v>38361.866828649996</v>
          </cell>
          <cell r="U142">
            <v>8330</v>
          </cell>
          <cell r="Z142">
            <v>55620</v>
          </cell>
          <cell r="AN142">
            <v>140687.40781249999</v>
          </cell>
          <cell r="AO142">
            <v>102506.86682865</v>
          </cell>
        </row>
        <row r="143">
          <cell r="A143">
            <v>47119</v>
          </cell>
          <cell r="C143">
            <v>331700</v>
          </cell>
          <cell r="P143">
            <v>36238.826527448</v>
          </cell>
          <cell r="U143">
            <v>8330</v>
          </cell>
          <cell r="Z143">
            <v>133900</v>
          </cell>
          <cell r="AN143">
            <v>153036.68581249999</v>
          </cell>
          <cell r="AO143">
            <v>178663.82652744799</v>
          </cell>
        </row>
        <row r="144">
          <cell r="A144">
            <v>47150</v>
          </cell>
          <cell r="C144">
            <v>338250</v>
          </cell>
          <cell r="P144">
            <v>37903.328815641777</v>
          </cell>
          <cell r="U144">
            <v>8400</v>
          </cell>
          <cell r="Z144">
            <v>135200</v>
          </cell>
          <cell r="AN144">
            <v>156552.49591015623</v>
          </cell>
          <cell r="AO144">
            <v>181698.32881564178</v>
          </cell>
        </row>
        <row r="145">
          <cell r="A145">
            <v>47178</v>
          </cell>
          <cell r="C145">
            <v>317290</v>
          </cell>
          <cell r="P145">
            <v>39507.46778325901</v>
          </cell>
          <cell r="U145">
            <v>8400</v>
          </cell>
          <cell r="Z145">
            <v>112320</v>
          </cell>
          <cell r="AN145">
            <v>156872.49591015623</v>
          </cell>
          <cell r="AO145">
            <v>160422.467783259</v>
          </cell>
        </row>
        <row r="146">
          <cell r="A146">
            <v>47209</v>
          </cell>
          <cell r="C146">
            <v>266460</v>
          </cell>
          <cell r="P146">
            <v>35608.220497388007</v>
          </cell>
          <cell r="U146">
            <v>8400</v>
          </cell>
          <cell r="Z146">
            <v>68640</v>
          </cell>
          <cell r="AN146">
            <v>153622.49591015623</v>
          </cell>
          <cell r="AO146">
            <v>112843.22049738801</v>
          </cell>
        </row>
        <row r="147">
          <cell r="A147">
            <v>47239</v>
          </cell>
          <cell r="C147">
            <v>219750</v>
          </cell>
          <cell r="P147">
            <v>35061.695271336001</v>
          </cell>
          <cell r="U147">
            <v>8400</v>
          </cell>
          <cell r="Z147">
            <v>17680</v>
          </cell>
          <cell r="AN147">
            <v>158422.49591015623</v>
          </cell>
          <cell r="AO147">
            <v>61336.695271336001</v>
          </cell>
        </row>
        <row r="148">
          <cell r="A148">
            <v>47270</v>
          </cell>
          <cell r="C148">
            <v>201910</v>
          </cell>
          <cell r="P148">
            <v>29974.806628851995</v>
          </cell>
          <cell r="U148">
            <v>8400</v>
          </cell>
          <cell r="Z148">
            <v>11440</v>
          </cell>
          <cell r="AN148">
            <v>151902.49591015623</v>
          </cell>
          <cell r="AO148">
            <v>50009.806628851991</v>
          </cell>
        </row>
        <row r="149">
          <cell r="A149">
            <v>47300</v>
          </cell>
          <cell r="C149">
            <v>199060</v>
          </cell>
          <cell r="P149">
            <v>32255.498437568986</v>
          </cell>
          <cell r="U149">
            <v>8400</v>
          </cell>
          <cell r="Z149">
            <v>4160</v>
          </cell>
          <cell r="AN149">
            <v>154052.49591015623</v>
          </cell>
          <cell r="AO149">
            <v>45010.498437568982</v>
          </cell>
        </row>
        <row r="150">
          <cell r="A150">
            <v>47331</v>
          </cell>
          <cell r="C150">
            <v>209180</v>
          </cell>
          <cell r="P150">
            <v>40726.639441375009</v>
          </cell>
          <cell r="U150">
            <v>8400</v>
          </cell>
          <cell r="Z150">
            <v>4160</v>
          </cell>
          <cell r="AN150">
            <v>155702.49591015623</v>
          </cell>
          <cell r="AO150">
            <v>53481.639441375009</v>
          </cell>
        </row>
        <row r="151">
          <cell r="A151">
            <v>47362</v>
          </cell>
          <cell r="C151">
            <v>227990</v>
          </cell>
          <cell r="P151">
            <v>57847.593157504001</v>
          </cell>
          <cell r="U151">
            <v>8400</v>
          </cell>
          <cell r="Z151">
            <v>4160</v>
          </cell>
          <cell r="AN151">
            <v>157392.49591015623</v>
          </cell>
          <cell r="AO151">
            <v>70602.593157504001</v>
          </cell>
        </row>
        <row r="152">
          <cell r="A152">
            <v>47392</v>
          </cell>
          <cell r="C152">
            <v>234170</v>
          </cell>
          <cell r="P152">
            <v>61599.699036361009</v>
          </cell>
          <cell r="U152">
            <v>8400</v>
          </cell>
          <cell r="Z152">
            <v>5200</v>
          </cell>
          <cell r="AN152">
            <v>158782.49591015623</v>
          </cell>
          <cell r="AO152">
            <v>75394.699036361009</v>
          </cell>
        </row>
        <row r="153">
          <cell r="A153">
            <v>47423</v>
          </cell>
          <cell r="C153">
            <v>234300</v>
          </cell>
          <cell r="P153">
            <v>49859.916776744001</v>
          </cell>
          <cell r="U153">
            <v>8400</v>
          </cell>
          <cell r="Z153">
            <v>18720</v>
          </cell>
          <cell r="AN153">
            <v>157132.49591015623</v>
          </cell>
          <cell r="AO153">
            <v>77174.916776744009</v>
          </cell>
        </row>
        <row r="154">
          <cell r="A154">
            <v>47453</v>
          </cell>
          <cell r="C154">
            <v>254350</v>
          </cell>
          <cell r="P154">
            <v>38745.485496936497</v>
          </cell>
          <cell r="U154">
            <v>8400</v>
          </cell>
          <cell r="Z154">
            <v>56160</v>
          </cell>
          <cell r="AN154">
            <v>150852.49591015623</v>
          </cell>
          <cell r="AO154">
            <v>103500.4854969365</v>
          </cell>
        </row>
        <row r="155">
          <cell r="A155">
            <v>47484</v>
          </cell>
          <cell r="C155">
            <v>334890</v>
          </cell>
          <cell r="P155">
            <v>36601.21479272248</v>
          </cell>
          <cell r="U155">
            <v>8400</v>
          </cell>
          <cell r="Z155">
            <v>135200</v>
          </cell>
          <cell r="AN155">
            <v>154498.65225015624</v>
          </cell>
          <cell r="AO155">
            <v>180396.21479272249</v>
          </cell>
        </row>
        <row r="156">
          <cell r="A156">
            <v>47515</v>
          </cell>
          <cell r="C156">
            <v>341480</v>
          </cell>
          <cell r="P156">
            <v>38282.362103798194</v>
          </cell>
          <cell r="U156">
            <v>8470</v>
          </cell>
          <cell r="Z156">
            <v>136500</v>
          </cell>
          <cell r="AN156">
            <v>158040.15997403319</v>
          </cell>
          <cell r="AO156">
            <v>183447.36210379819</v>
          </cell>
        </row>
        <row r="157">
          <cell r="A157">
            <v>47543</v>
          </cell>
          <cell r="C157">
            <v>320330</v>
          </cell>
          <cell r="P157">
            <v>39902.542461091602</v>
          </cell>
          <cell r="U157">
            <v>8470</v>
          </cell>
          <cell r="Z157">
            <v>113400</v>
          </cell>
          <cell r="AN157">
            <v>158370.15997403319</v>
          </cell>
          <cell r="AO157">
            <v>161967.54246109159</v>
          </cell>
        </row>
        <row r="158">
          <cell r="A158">
            <v>47574</v>
          </cell>
          <cell r="C158">
            <v>269000</v>
          </cell>
          <cell r="P158">
            <v>35964.302702361892</v>
          </cell>
          <cell r="U158">
            <v>8470</v>
          </cell>
          <cell r="Z158">
            <v>69300</v>
          </cell>
          <cell r="AN158">
            <v>155080.15997403319</v>
          </cell>
          <cell r="AO158">
            <v>113929.30270236189</v>
          </cell>
        </row>
        <row r="159">
          <cell r="A159">
            <v>47604</v>
          </cell>
          <cell r="C159">
            <v>221850</v>
          </cell>
          <cell r="P159">
            <v>35412.312224049361</v>
          </cell>
          <cell r="U159">
            <v>8470</v>
          </cell>
          <cell r="Z159">
            <v>17850</v>
          </cell>
          <cell r="AN159">
            <v>159930.15997403319</v>
          </cell>
          <cell r="AO159">
            <v>61927.312224049361</v>
          </cell>
        </row>
        <row r="160">
          <cell r="A160">
            <v>47635</v>
          </cell>
          <cell r="C160">
            <v>203830</v>
          </cell>
          <cell r="P160">
            <v>30274.554695140512</v>
          </cell>
          <cell r="U160">
            <v>8470</v>
          </cell>
          <cell r="Z160">
            <v>11550</v>
          </cell>
          <cell r="AN160">
            <v>153350.15997403319</v>
          </cell>
          <cell r="AO160">
            <v>50489.554695140512</v>
          </cell>
        </row>
        <row r="161">
          <cell r="A161">
            <v>47665</v>
          </cell>
          <cell r="C161">
            <v>200960</v>
          </cell>
          <cell r="P161">
            <v>32578.053421944678</v>
          </cell>
          <cell r="U161">
            <v>8470</v>
          </cell>
          <cell r="Z161">
            <v>4200</v>
          </cell>
          <cell r="AN161">
            <v>155520.15997403319</v>
          </cell>
          <cell r="AO161">
            <v>45443.053421944678</v>
          </cell>
        </row>
        <row r="162">
          <cell r="A162">
            <v>47696</v>
          </cell>
          <cell r="C162">
            <v>211170</v>
          </cell>
          <cell r="P162">
            <v>41133.905835788755</v>
          </cell>
          <cell r="U162">
            <v>8470</v>
          </cell>
          <cell r="Z162">
            <v>4200</v>
          </cell>
          <cell r="AN162">
            <v>157180.15997403319</v>
          </cell>
          <cell r="AO162">
            <v>53998.905835788755</v>
          </cell>
        </row>
        <row r="163">
          <cell r="A163">
            <v>47727</v>
          </cell>
          <cell r="C163">
            <v>230180</v>
          </cell>
          <cell r="P163">
            <v>58426.069089079043</v>
          </cell>
          <cell r="U163">
            <v>8470</v>
          </cell>
          <cell r="Z163">
            <v>4200</v>
          </cell>
          <cell r="AN163">
            <v>158890.15997403319</v>
          </cell>
          <cell r="AO163">
            <v>71291.069089079043</v>
          </cell>
        </row>
        <row r="164">
          <cell r="A164">
            <v>47757</v>
          </cell>
          <cell r="C164">
            <v>236430</v>
          </cell>
          <cell r="P164">
            <v>62215.696026724618</v>
          </cell>
          <cell r="U164">
            <v>8470</v>
          </cell>
          <cell r="Z164">
            <v>5250</v>
          </cell>
          <cell r="AN164">
            <v>160300.15997403319</v>
          </cell>
          <cell r="AO164">
            <v>76130.696026724618</v>
          </cell>
        </row>
        <row r="165">
          <cell r="A165">
            <v>47788</v>
          </cell>
          <cell r="C165">
            <v>236550</v>
          </cell>
          <cell r="P165">
            <v>50358.51594451144</v>
          </cell>
          <cell r="U165">
            <v>8470</v>
          </cell>
          <cell r="Z165">
            <v>18900</v>
          </cell>
          <cell r="AN165">
            <v>158630.15997403319</v>
          </cell>
          <cell r="AO165">
            <v>77923.51594451144</v>
          </cell>
        </row>
        <row r="166">
          <cell r="A166">
            <v>47818</v>
          </cell>
          <cell r="C166">
            <v>256780</v>
          </cell>
          <cell r="P166">
            <v>39132.940351905869</v>
          </cell>
          <cell r="U166">
            <v>8470</v>
          </cell>
          <cell r="Z166">
            <v>56700</v>
          </cell>
          <cell r="AN166">
            <v>152290.15997403319</v>
          </cell>
          <cell r="AO166">
            <v>104497.94035190587</v>
          </cell>
        </row>
        <row r="170">
          <cell r="P170">
            <v>29540</v>
          </cell>
          <cell r="U170">
            <v>11250</v>
          </cell>
        </row>
        <row r="171">
          <cell r="B171">
            <v>43465</v>
          </cell>
          <cell r="C171">
            <v>147950</v>
          </cell>
          <cell r="D171">
            <v>145328.88888888888</v>
          </cell>
          <cell r="E171">
            <v>33540.666666666664</v>
          </cell>
          <cell r="F171">
            <v>26143.333333333332</v>
          </cell>
          <cell r="G171">
            <v>8745.5555555555547</v>
          </cell>
          <cell r="H171">
            <v>620</v>
          </cell>
          <cell r="I171">
            <v>4154.4444444444443</v>
          </cell>
          <cell r="J171">
            <v>9617.7777777777774</v>
          </cell>
          <cell r="K171">
            <v>490</v>
          </cell>
          <cell r="L171">
            <v>690</v>
          </cell>
          <cell r="M171">
            <v>220</v>
          </cell>
          <cell r="O171">
            <v>1280</v>
          </cell>
          <cell r="P171">
            <v>17525.555555555555</v>
          </cell>
          <cell r="Q171">
            <v>1516.6666666666667</v>
          </cell>
          <cell r="R171">
            <v>1272.2222222222222</v>
          </cell>
          <cell r="S171">
            <v>2500</v>
          </cell>
          <cell r="T171">
            <v>-3073.75</v>
          </cell>
          <cell r="U171">
            <v>8183.333333333333</v>
          </cell>
          <cell r="V171">
            <v>-860</v>
          </cell>
          <cell r="W171">
            <v>9607.9</v>
          </cell>
          <cell r="Z171">
            <v>2621.1111111111113</v>
          </cell>
        </row>
        <row r="172">
          <cell r="B172">
            <v>43830</v>
          </cell>
          <cell r="C172">
            <v>165071.66666666666</v>
          </cell>
          <cell r="D172">
            <v>162843.33333333334</v>
          </cell>
          <cell r="E172">
            <v>33627.5</v>
          </cell>
          <cell r="F172">
            <v>29575.833333333332</v>
          </cell>
          <cell r="G172">
            <v>9941.6666666666661</v>
          </cell>
          <cell r="H172">
            <v>620</v>
          </cell>
          <cell r="I172">
            <v>4143.333333333333</v>
          </cell>
          <cell r="J172">
            <v>9610</v>
          </cell>
          <cell r="K172">
            <v>490</v>
          </cell>
          <cell r="L172">
            <v>707.5</v>
          </cell>
          <cell r="M172">
            <v>220</v>
          </cell>
          <cell r="O172">
            <v>1280</v>
          </cell>
          <cell r="P172">
            <v>15203.333333333334</v>
          </cell>
          <cell r="Q172">
            <v>1446.6666666666667</v>
          </cell>
          <cell r="R172">
            <v>1247.5</v>
          </cell>
          <cell r="S172">
            <v>2500</v>
          </cell>
          <cell r="T172">
            <v>-2606.3636363636365</v>
          </cell>
          <cell r="U172">
            <v>5478.333333333333</v>
          </cell>
          <cell r="V172">
            <v>-11.818181818181818</v>
          </cell>
          <cell r="W172">
            <v>12035</v>
          </cell>
          <cell r="Z172">
            <v>2228.3333333333335</v>
          </cell>
        </row>
        <row r="173">
          <cell r="B173">
            <v>44196</v>
          </cell>
          <cell r="C173">
            <v>172613.33333333334</v>
          </cell>
          <cell r="D173">
            <v>169304.16666666666</v>
          </cell>
          <cell r="E173">
            <v>34915</v>
          </cell>
          <cell r="F173">
            <v>30724.166666666668</v>
          </cell>
          <cell r="G173">
            <v>10365</v>
          </cell>
          <cell r="H173">
            <v>650</v>
          </cell>
          <cell r="I173">
            <v>4129.166666666667</v>
          </cell>
          <cell r="J173">
            <v>9610</v>
          </cell>
          <cell r="K173">
            <v>490</v>
          </cell>
          <cell r="L173">
            <v>752.5</v>
          </cell>
          <cell r="M173">
            <v>220</v>
          </cell>
          <cell r="O173">
            <v>1280</v>
          </cell>
          <cell r="P173">
            <v>17399.166666666668</v>
          </cell>
          <cell r="Q173">
            <v>1500.8333333333333</v>
          </cell>
          <cell r="R173">
            <v>1193.3333333333333</v>
          </cell>
          <cell r="S173">
            <v>2500</v>
          </cell>
          <cell r="T173">
            <v>-2226.6666666666665</v>
          </cell>
          <cell r="U173">
            <v>9723.3333333333339</v>
          </cell>
          <cell r="V173">
            <v>174.54545454545453</v>
          </cell>
          <cell r="W173">
            <v>12170</v>
          </cell>
          <cell r="Z173">
            <v>3309.1666666666665</v>
          </cell>
        </row>
        <row r="174">
          <cell r="B174">
            <v>44561</v>
          </cell>
          <cell r="C174">
            <v>172281.66666666666</v>
          </cell>
          <cell r="D174">
            <v>169162.5</v>
          </cell>
          <cell r="E174">
            <v>36816.666666666664</v>
          </cell>
          <cell r="F174">
            <v>31302.5</v>
          </cell>
          <cell r="G174">
            <v>10794.166666666666</v>
          </cell>
          <cell r="H174">
            <v>660</v>
          </cell>
          <cell r="I174">
            <v>4108.333333333333</v>
          </cell>
          <cell r="J174">
            <v>9610</v>
          </cell>
          <cell r="K174">
            <v>490</v>
          </cell>
          <cell r="L174">
            <v>1674.1666666666667</v>
          </cell>
          <cell r="M174">
            <v>220</v>
          </cell>
          <cell r="O174">
            <v>1280</v>
          </cell>
          <cell r="P174">
            <v>15491.666666666666</v>
          </cell>
          <cell r="Q174">
            <v>1530</v>
          </cell>
          <cell r="R174">
            <v>1220</v>
          </cell>
          <cell r="T174">
            <v>-867.5</v>
          </cell>
          <cell r="U174">
            <v>9504.1666666666661</v>
          </cell>
          <cell r="V174">
            <v>123.33333333333333</v>
          </cell>
          <cell r="W174">
            <v>19613.333333333332</v>
          </cell>
          <cell r="Z174">
            <v>3119.1666666666665</v>
          </cell>
        </row>
        <row r="175">
          <cell r="B175">
            <v>44926</v>
          </cell>
          <cell r="C175">
            <v>175197.5</v>
          </cell>
          <cell r="D175">
            <v>144410.83333333334</v>
          </cell>
          <cell r="E175">
            <v>26370.833333333332</v>
          </cell>
          <cell r="F175">
            <v>24542.5</v>
          </cell>
          <cell r="G175">
            <v>13281.666666666666</v>
          </cell>
          <cell r="H175">
            <v>706.66666666666663</v>
          </cell>
          <cell r="I175">
            <v>1330</v>
          </cell>
          <cell r="J175">
            <v>4200.833333333333</v>
          </cell>
          <cell r="K175">
            <v>540</v>
          </cell>
          <cell r="L175">
            <v>1491.6666666666667</v>
          </cell>
          <cell r="M175">
            <v>103.33333333333333</v>
          </cell>
          <cell r="N175">
            <v>251.66666666666666</v>
          </cell>
          <cell r="O175">
            <v>819.16666666666663</v>
          </cell>
          <cell r="P175">
            <v>30102.5</v>
          </cell>
          <cell r="Q175">
            <v>10575.833333333334</v>
          </cell>
          <cell r="R175">
            <v>3345</v>
          </cell>
          <cell r="S175">
            <v>2500</v>
          </cell>
          <cell r="T175">
            <v>-111.66666666666667</v>
          </cell>
          <cell r="U175">
            <v>9367.5</v>
          </cell>
          <cell r="V175">
            <v>1306.6666666666667</v>
          </cell>
          <cell r="W175">
            <v>12310</v>
          </cell>
          <cell r="X175">
            <v>3000</v>
          </cell>
          <cell r="Y175">
            <v>460</v>
          </cell>
          <cell r="Z175">
            <v>30786.666666666668</v>
          </cell>
        </row>
        <row r="176">
          <cell r="B176">
            <v>45291</v>
          </cell>
          <cell r="C176">
            <v>199500</v>
          </cell>
          <cell r="D176">
            <v>152685.83333333334</v>
          </cell>
          <cell r="E176">
            <v>26625.833333333332</v>
          </cell>
          <cell r="F176">
            <v>28819.166666666668</v>
          </cell>
          <cell r="G176">
            <v>13006.666666666666</v>
          </cell>
          <cell r="H176">
            <v>450</v>
          </cell>
          <cell r="I176">
            <v>1330</v>
          </cell>
          <cell r="J176">
            <v>2519.1666666666665</v>
          </cell>
          <cell r="K176">
            <v>525</v>
          </cell>
          <cell r="L176">
            <v>2413.3333333333335</v>
          </cell>
          <cell r="M176">
            <v>90.833333333333329</v>
          </cell>
          <cell r="N176">
            <v>260</v>
          </cell>
          <cell r="O176">
            <v>794.16666666666663</v>
          </cell>
          <cell r="P176">
            <v>34621.666666666664</v>
          </cell>
          <cell r="Q176">
            <v>13138.333333333334</v>
          </cell>
          <cell r="R176">
            <v>3370</v>
          </cell>
          <cell r="T176">
            <v>13.333333333333334</v>
          </cell>
          <cell r="U176">
            <v>7829.166666666667</v>
          </cell>
          <cell r="V176">
            <v>1413.3333333333333</v>
          </cell>
          <cell r="W176">
            <v>12310</v>
          </cell>
          <cell r="X176">
            <v>3000</v>
          </cell>
          <cell r="Y176">
            <v>155.83333333333334</v>
          </cell>
          <cell r="Z176">
            <v>46814.166666666664</v>
          </cell>
        </row>
        <row r="177">
          <cell r="B177">
            <v>45657</v>
          </cell>
          <cell r="C177">
            <v>198639.16666666666</v>
          </cell>
          <cell r="D177">
            <v>167405.83333333334</v>
          </cell>
          <cell r="E177">
            <v>28840.833333333332</v>
          </cell>
          <cell r="F177">
            <v>27026.666666666668</v>
          </cell>
          <cell r="G177">
            <v>13005</v>
          </cell>
          <cell r="H177">
            <v>457.5</v>
          </cell>
          <cell r="I177">
            <v>835</v>
          </cell>
          <cell r="J177">
            <v>5558.333333333333</v>
          </cell>
          <cell r="K177">
            <v>408.33333333333331</v>
          </cell>
          <cell r="L177">
            <v>2145.8333333333335</v>
          </cell>
          <cell r="M177">
            <v>90</v>
          </cell>
          <cell r="N177">
            <v>253.33333333333334</v>
          </cell>
          <cell r="O177">
            <v>1073.3333333333333</v>
          </cell>
          <cell r="P177">
            <v>37097.5</v>
          </cell>
          <cell r="Q177">
            <v>16781.666666666668</v>
          </cell>
          <cell r="R177">
            <v>4653.333333333333</v>
          </cell>
          <cell r="T177">
            <v>0</v>
          </cell>
          <cell r="U177">
            <v>7762.5</v>
          </cell>
          <cell r="V177">
            <v>1471.6666666666667</v>
          </cell>
          <cell r="W177">
            <v>16803.333333333332</v>
          </cell>
          <cell r="X177">
            <v>3000</v>
          </cell>
          <cell r="Y177">
            <v>141.66666666666666</v>
          </cell>
          <cell r="Z177">
            <v>31233.333333333332</v>
          </cell>
        </row>
        <row r="178">
          <cell r="B178">
            <v>46022</v>
          </cell>
          <cell r="C178">
            <v>221108.33333333334</v>
          </cell>
          <cell r="D178">
            <v>177896.66666666666</v>
          </cell>
          <cell r="E178">
            <v>31466.666666666668</v>
          </cell>
          <cell r="F178">
            <v>24640.833333333332</v>
          </cell>
          <cell r="G178">
            <v>13103.333333333334</v>
          </cell>
          <cell r="H178">
            <v>488.33333333333331</v>
          </cell>
          <cell r="I178">
            <v>645</v>
          </cell>
          <cell r="J178">
            <v>7167.5</v>
          </cell>
          <cell r="K178">
            <v>410</v>
          </cell>
          <cell r="L178">
            <v>2743.3333333333335</v>
          </cell>
          <cell r="M178">
            <v>176.66666666666666</v>
          </cell>
          <cell r="N178">
            <v>290</v>
          </cell>
          <cell r="O178">
            <v>1053.3333333333333</v>
          </cell>
          <cell r="P178">
            <v>39383.333333333336</v>
          </cell>
          <cell r="Q178">
            <v>18773.333333333332</v>
          </cell>
          <cell r="R178">
            <v>5950.833333333333</v>
          </cell>
          <cell r="T178">
            <v>0</v>
          </cell>
          <cell r="U178">
            <v>7954.166666666667</v>
          </cell>
          <cell r="V178">
            <v>1463.3333333333333</v>
          </cell>
          <cell r="W178">
            <v>19050</v>
          </cell>
          <cell r="X178">
            <v>3000</v>
          </cell>
          <cell r="Y178">
            <v>136.66666666666666</v>
          </cell>
          <cell r="Z178">
            <v>43211.666666666664</v>
          </cell>
        </row>
        <row r="179">
          <cell r="B179">
            <v>46387</v>
          </cell>
          <cell r="C179">
            <v>225138.75</v>
          </cell>
          <cell r="D179">
            <v>180837.5</v>
          </cell>
          <cell r="E179">
            <v>34357.5</v>
          </cell>
          <cell r="F179">
            <v>25160</v>
          </cell>
          <cell r="G179">
            <v>13665.833333333334</v>
          </cell>
          <cell r="H179">
            <v>470</v>
          </cell>
          <cell r="I179">
            <v>660.83333333333337</v>
          </cell>
          <cell r="J179">
            <v>5829.166666666667</v>
          </cell>
          <cell r="K179">
            <v>418.33333333333331</v>
          </cell>
          <cell r="L179">
            <v>2753.3333333333335</v>
          </cell>
          <cell r="M179">
            <v>445</v>
          </cell>
          <cell r="N179">
            <v>290</v>
          </cell>
          <cell r="O179">
            <v>1240</v>
          </cell>
          <cell r="P179">
            <v>34306.666666666664</v>
          </cell>
          <cell r="Q179">
            <v>18190</v>
          </cell>
          <cell r="R179">
            <v>5765</v>
          </cell>
          <cell r="T179">
            <v>0</v>
          </cell>
          <cell r="U179">
            <v>7858.333333333333</v>
          </cell>
          <cell r="V179">
            <v>1930</v>
          </cell>
          <cell r="W179">
            <v>24343.333333333332</v>
          </cell>
          <cell r="X179">
            <v>3000</v>
          </cell>
          <cell r="Y179">
            <v>156.25</v>
          </cell>
          <cell r="Z179">
            <v>44301.25</v>
          </cell>
        </row>
        <row r="180">
          <cell r="B180">
            <v>46752</v>
          </cell>
          <cell r="C180">
            <v>239349.16666666666</v>
          </cell>
          <cell r="D180">
            <v>192622.5</v>
          </cell>
          <cell r="E180">
            <v>35977.572916666664</v>
          </cell>
          <cell r="F180">
            <v>25863.333333333332</v>
          </cell>
          <cell r="G180">
            <v>13565.833333333334</v>
          </cell>
          <cell r="H180">
            <v>520</v>
          </cell>
          <cell r="I180">
            <v>699.16666666666663</v>
          </cell>
          <cell r="J180">
            <v>7420</v>
          </cell>
          <cell r="K180">
            <v>439.16666666666669</v>
          </cell>
          <cell r="L180">
            <v>2540</v>
          </cell>
          <cell r="M180">
            <v>390</v>
          </cell>
          <cell r="N180">
            <v>290</v>
          </cell>
          <cell r="O180">
            <v>1370</v>
          </cell>
          <cell r="P180">
            <v>40464.103018528767</v>
          </cell>
          <cell r="Q180">
            <v>16880</v>
          </cell>
          <cell r="R180">
            <v>6270</v>
          </cell>
          <cell r="T180">
            <v>0</v>
          </cell>
          <cell r="U180">
            <v>8254.1666666666661</v>
          </cell>
          <cell r="V180">
            <v>1500</v>
          </cell>
          <cell r="W180">
            <v>26990</v>
          </cell>
          <cell r="X180">
            <v>3000</v>
          </cell>
          <cell r="Y180">
            <v>195</v>
          </cell>
          <cell r="Z180">
            <v>46726.666666666664</v>
          </cell>
        </row>
        <row r="181">
          <cell r="B181">
            <v>47118</v>
          </cell>
          <cell r="C181">
            <v>241724.16666666666</v>
          </cell>
          <cell r="D181">
            <v>194538.33333333334</v>
          </cell>
          <cell r="E181">
            <v>36427.292578124987</v>
          </cell>
          <cell r="F181">
            <v>26183.333333333332</v>
          </cell>
          <cell r="G181">
            <v>13735.833333333334</v>
          </cell>
          <cell r="H181">
            <v>530</v>
          </cell>
          <cell r="I181">
            <v>709.16666666666663</v>
          </cell>
          <cell r="J181">
            <v>7642.6000000000013</v>
          </cell>
          <cell r="K181">
            <v>449.16666666666669</v>
          </cell>
          <cell r="L181">
            <v>2560</v>
          </cell>
          <cell r="M181">
            <v>390</v>
          </cell>
          <cell r="N181">
            <v>290</v>
          </cell>
          <cell r="O181">
            <v>1380</v>
          </cell>
          <cell r="P181">
            <v>40868.744048714048</v>
          </cell>
          <cell r="Q181">
            <v>17048.333333333332</v>
          </cell>
          <cell r="R181">
            <v>6320</v>
          </cell>
          <cell r="T181">
            <v>0</v>
          </cell>
          <cell r="U181">
            <v>8324.1666666666661</v>
          </cell>
          <cell r="V181">
            <v>1500</v>
          </cell>
          <cell r="W181">
            <v>26990</v>
          </cell>
          <cell r="X181">
            <v>3000</v>
          </cell>
          <cell r="Y181">
            <v>195</v>
          </cell>
          <cell r="Z181">
            <v>47185.833333333336</v>
          </cell>
        </row>
        <row r="182">
          <cell r="B182">
            <v>47483</v>
          </cell>
          <cell r="C182">
            <v>252867.5</v>
          </cell>
          <cell r="D182">
            <v>205222.5</v>
          </cell>
          <cell r="E182">
            <v>36882.633735351563</v>
          </cell>
          <cell r="F182">
            <v>26512.5</v>
          </cell>
          <cell r="G182">
            <v>13905.833333333334</v>
          </cell>
          <cell r="H182">
            <v>540</v>
          </cell>
          <cell r="I182">
            <v>719.16666666666663</v>
          </cell>
          <cell r="J182">
            <v>7871.8779999999979</v>
          </cell>
          <cell r="K182">
            <v>459.16666666666669</v>
          </cell>
          <cell r="L182">
            <v>2580</v>
          </cell>
          <cell r="M182">
            <v>390</v>
          </cell>
          <cell r="N182">
            <v>290</v>
          </cell>
          <cell r="O182">
            <v>1390</v>
          </cell>
          <cell r="P182">
            <v>41277.43148920119</v>
          </cell>
          <cell r="Q182">
            <v>17219.166666666668</v>
          </cell>
          <cell r="R182">
            <v>6370</v>
          </cell>
          <cell r="T182">
            <v>0</v>
          </cell>
          <cell r="U182">
            <v>8394.1666666666661</v>
          </cell>
          <cell r="V182">
            <v>1500</v>
          </cell>
          <cell r="W182">
            <v>35730</v>
          </cell>
          <cell r="X182">
            <v>3000</v>
          </cell>
          <cell r="Y182">
            <v>195</v>
          </cell>
          <cell r="Z182">
            <v>47645</v>
          </cell>
        </row>
        <row r="183">
          <cell r="B183">
            <v>47848</v>
          </cell>
          <cell r="C183">
            <v>255287.5</v>
          </cell>
          <cell r="D183">
            <v>207183.33333333334</v>
          </cell>
          <cell r="E183">
            <v>37343.666657043446</v>
          </cell>
          <cell r="F183">
            <v>26842.5</v>
          </cell>
          <cell r="G183">
            <v>14075.833333333334</v>
          </cell>
          <cell r="H183">
            <v>550</v>
          </cell>
          <cell r="I183">
            <v>729.16666666666663</v>
          </cell>
          <cell r="J183">
            <v>8108.0343399999992</v>
          </cell>
          <cell r="K183">
            <v>469.16666666666669</v>
          </cell>
          <cell r="L183">
            <v>2600</v>
          </cell>
          <cell r="M183">
            <v>390</v>
          </cell>
          <cell r="N183">
            <v>290</v>
          </cell>
          <cell r="O183">
            <v>1400</v>
          </cell>
          <cell r="P183">
            <v>41690.205804093202</v>
          </cell>
          <cell r="Q183">
            <v>17391.666666666668</v>
          </cell>
          <cell r="R183">
            <v>6420</v>
          </cell>
          <cell r="T183">
            <v>0</v>
          </cell>
          <cell r="U183">
            <v>8464.1666666666661</v>
          </cell>
          <cell r="V183">
            <v>1500</v>
          </cell>
          <cell r="W183">
            <v>35730</v>
          </cell>
          <cell r="X183">
            <v>3000</v>
          </cell>
          <cell r="Y183">
            <v>195</v>
          </cell>
          <cell r="Z183">
            <v>48104.166666666664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1F1-1E40-4756-A93C-910109D62032}">
  <sheetPr>
    <tabColor theme="9" tint="0.39997558519241921"/>
    <pageSetUpPr autoPageBreaks="0" fitToPage="1"/>
  </sheetPr>
  <dimension ref="A1:BY258"/>
  <sheetViews>
    <sheetView showGridLines="0" tabSelected="1" zoomScale="85" zoomScaleNormal="85" workbookViewId="0">
      <pane xSplit="2" ySplit="55" topLeftCell="C56" activePane="bottomRight" state="frozen"/>
      <selection activeCell="A53" sqref="A53"/>
      <selection pane="topRight" activeCell="C53" sqref="C53"/>
      <selection pane="bottomLeft" activeCell="A56" sqref="A56"/>
      <selection pane="bottomRight" activeCell="L41" sqref="L41"/>
    </sheetView>
  </sheetViews>
  <sheetFormatPr defaultColWidth="9" defaultRowHeight="12" customHeight="1" outlineLevelRow="1"/>
  <cols>
    <col min="1" max="1" width="7.375" style="3" customWidth="1"/>
    <col min="2" max="2" width="9.625" style="3" customWidth="1"/>
    <col min="3" max="3" width="9" style="3" customWidth="1"/>
    <col min="4" max="4" width="8.75" style="3" customWidth="1"/>
    <col min="5" max="5" width="7.25" style="3" customWidth="1"/>
    <col min="6" max="6" width="7.625" style="3" customWidth="1"/>
    <col min="7" max="7" width="8.125" style="3" customWidth="1"/>
    <col min="8" max="8" width="6.125" style="3" customWidth="1"/>
    <col min="9" max="9" width="6.25" style="3" customWidth="1"/>
    <col min="10" max="10" width="7" style="3" customWidth="1"/>
    <col min="11" max="11" width="6" style="3" customWidth="1"/>
    <col min="12" max="12" width="6.25" style="3" customWidth="1"/>
    <col min="13" max="13" width="5.625" style="3" customWidth="1"/>
    <col min="14" max="14" width="5.5" style="3" customWidth="1"/>
    <col min="15" max="15" width="6.375" style="3" customWidth="1"/>
    <col min="16" max="16" width="10" style="3" customWidth="1"/>
    <col min="17" max="17" width="7.75" style="3" customWidth="1"/>
    <col min="18" max="18" width="7" style="3" customWidth="1"/>
    <col min="19" max="19" width="6.25" style="3" customWidth="1"/>
    <col min="20" max="20" width="7.375" style="3" customWidth="1"/>
    <col min="21" max="21" width="8.125" style="3" customWidth="1"/>
    <col min="22" max="22" width="7.5" style="3" customWidth="1"/>
    <col min="23" max="23" width="8.375" style="3" customWidth="1"/>
    <col min="24" max="24" width="7.375" style="3" customWidth="1"/>
    <col min="25" max="25" width="7.625" style="3" customWidth="1"/>
    <col min="26" max="26" width="8.375" style="3" customWidth="1"/>
    <col min="27" max="27" width="4" customWidth="1"/>
    <col min="28" max="30" width="9.125" style="3" customWidth="1"/>
    <col min="31" max="31" width="5.375" style="3" customWidth="1"/>
    <col min="32" max="32" width="6.75" style="3" customWidth="1"/>
    <col min="33" max="33" width="5.875" style="3" customWidth="1"/>
    <col min="34" max="34" width="3.375" customWidth="1"/>
    <col min="35" max="35" width="5.75" customWidth="1"/>
    <col min="36" max="36" width="5.625" customWidth="1"/>
    <col min="37" max="37" width="5.25" customWidth="1"/>
    <col min="38" max="38" width="5.75" customWidth="1"/>
    <col min="39" max="39" width="4" customWidth="1"/>
    <col min="40" max="41" width="9" customWidth="1"/>
    <col min="42" max="42" width="8.375" customWidth="1"/>
    <col min="43" max="43" width="8.375" style="6" customWidth="1"/>
    <col min="44" max="44" width="7.375" customWidth="1"/>
    <col min="45" max="45" width="1.625" customWidth="1"/>
    <col min="46" max="46" width="7.875" customWidth="1"/>
    <col min="47" max="47" width="7.25" customWidth="1"/>
    <col min="48" max="48" width="8.625" style="3" customWidth="1"/>
    <col min="49" max="49" width="7.75" style="3" customWidth="1"/>
    <col min="50" max="50" width="6.375" style="3" customWidth="1"/>
    <col min="51" max="51" width="7.125" style="3" customWidth="1"/>
    <col min="52" max="52" width="9" style="3" customWidth="1"/>
    <col min="53" max="54" width="9" style="3"/>
    <col min="55" max="55" width="10.875" customWidth="1"/>
    <col min="58" max="60" width="9" style="3"/>
    <col min="61" max="61" width="8" style="3" customWidth="1"/>
    <col min="62" max="63" width="9" style="3"/>
    <col min="64" max="64" width="8.125" style="3" customWidth="1"/>
    <col min="65" max="65" width="5.875" style="3" customWidth="1"/>
    <col min="66" max="66" width="6.25" style="3" customWidth="1"/>
    <col min="67" max="67" width="8.125" style="3" customWidth="1"/>
    <col min="68" max="68" width="7" style="3" customWidth="1"/>
    <col min="69" max="69" width="6.25" style="3" customWidth="1"/>
    <col min="70" max="70" width="5.875" style="3" customWidth="1"/>
    <col min="71" max="71" width="3.75" style="3" customWidth="1"/>
    <col min="72" max="72" width="9" style="3"/>
    <col min="73" max="75" width="9.875" style="3" customWidth="1"/>
    <col min="76" max="16384" width="9" style="3"/>
  </cols>
  <sheetData>
    <row r="1" spans="1:62" ht="12" customHeight="1" outlineLevel="1">
      <c r="A1" s="1" t="s">
        <v>121</v>
      </c>
      <c r="B1" s="2"/>
      <c r="C1" s="2"/>
      <c r="AC1" s="4"/>
      <c r="AD1" s="4"/>
      <c r="AI1" s="5" t="s">
        <v>0</v>
      </c>
      <c r="AJ1" s="3"/>
      <c r="AK1" s="3"/>
      <c r="AL1" s="3"/>
      <c r="AM1" s="3"/>
      <c r="AN1" s="3"/>
      <c r="AO1" s="3"/>
      <c r="AP1" s="3"/>
      <c r="AT1" s="3"/>
      <c r="AU1" s="3"/>
      <c r="BC1" s="3"/>
      <c r="BD1" s="3"/>
      <c r="BE1" s="3"/>
      <c r="BF1" s="4"/>
      <c r="BG1" s="4"/>
      <c r="BH1" s="4"/>
      <c r="BI1" s="5" t="s">
        <v>0</v>
      </c>
    </row>
    <row r="2" spans="1:62" ht="12" customHeight="1" outlineLevel="1">
      <c r="A2" s="7" t="s">
        <v>124</v>
      </c>
      <c r="B2" s="8">
        <v>43157</v>
      </c>
      <c r="AB2" s="9" t="s">
        <v>1</v>
      </c>
      <c r="AC2" s="10" t="s">
        <v>2</v>
      </c>
      <c r="AD2" s="10" t="s">
        <v>3</v>
      </c>
      <c r="AE2" s="10" t="s">
        <v>2</v>
      </c>
      <c r="AF2" s="11" t="s">
        <v>4</v>
      </c>
      <c r="AG2" s="11"/>
      <c r="AI2" s="9" t="s">
        <v>1</v>
      </c>
      <c r="AJ2" s="10" t="s">
        <v>2</v>
      </c>
      <c r="AK2" s="10" t="s">
        <v>3</v>
      </c>
      <c r="AL2" s="10" t="s">
        <v>2</v>
      </c>
      <c r="AM2" s="3"/>
      <c r="AN2" s="9" t="s">
        <v>5</v>
      </c>
      <c r="AO2" s="9" t="s">
        <v>6</v>
      </c>
      <c r="AP2" s="3"/>
      <c r="AT2" s="3"/>
      <c r="AU2" s="3"/>
      <c r="BC2" s="3"/>
      <c r="BD2" s="3"/>
      <c r="BE2" s="3"/>
      <c r="BF2" s="10" t="s">
        <v>2</v>
      </c>
      <c r="BG2" s="10" t="s">
        <v>2</v>
      </c>
      <c r="BH2" s="10"/>
      <c r="BI2" s="10" t="s">
        <v>2</v>
      </c>
      <c r="BJ2" s="10" t="s">
        <v>2</v>
      </c>
    </row>
    <row r="3" spans="1:62" s="9" customFormat="1" ht="12" customHeight="1" outlineLevel="1">
      <c r="A3" s="7" t="s">
        <v>125</v>
      </c>
      <c r="B3" s="8">
        <v>44548</v>
      </c>
      <c r="C3" s="12" t="s">
        <v>7</v>
      </c>
      <c r="D3" s="13" t="s">
        <v>8</v>
      </c>
      <c r="E3" s="14" t="s">
        <v>9</v>
      </c>
      <c r="F3" s="14" t="s">
        <v>10</v>
      </c>
      <c r="G3" s="14" t="s">
        <v>11</v>
      </c>
      <c r="H3" s="14" t="s">
        <v>12</v>
      </c>
      <c r="I3" s="14" t="s">
        <v>13</v>
      </c>
      <c r="J3" s="15" t="s">
        <v>14</v>
      </c>
      <c r="K3" s="14" t="s">
        <v>15</v>
      </c>
      <c r="L3" s="14" t="s">
        <v>16</v>
      </c>
      <c r="M3" s="14" t="s">
        <v>17</v>
      </c>
      <c r="N3" s="14" t="s">
        <v>18</v>
      </c>
      <c r="O3" s="14" t="s">
        <v>19</v>
      </c>
      <c r="P3" s="16" t="s">
        <v>20</v>
      </c>
      <c r="Q3" s="14" t="s">
        <v>21</v>
      </c>
      <c r="R3" s="14" t="s">
        <v>22</v>
      </c>
      <c r="S3" s="14" t="s">
        <v>23</v>
      </c>
      <c r="T3" s="14" t="s">
        <v>24</v>
      </c>
      <c r="U3" s="16" t="s">
        <v>25</v>
      </c>
      <c r="V3" s="14" t="s">
        <v>26</v>
      </c>
      <c r="W3" s="17" t="s">
        <v>127</v>
      </c>
      <c r="X3" s="14" t="s">
        <v>27</v>
      </c>
      <c r="Y3" s="17" t="s">
        <v>28</v>
      </c>
      <c r="Z3" s="18" t="s">
        <v>29</v>
      </c>
      <c r="AB3" s="19" t="s">
        <v>30</v>
      </c>
      <c r="AC3" s="19" t="s">
        <v>31</v>
      </c>
      <c r="AD3" s="19" t="s">
        <v>32</v>
      </c>
      <c r="AE3" s="18" t="s">
        <v>33</v>
      </c>
      <c r="AF3" s="9" t="s">
        <v>34</v>
      </c>
      <c r="AG3" s="9" t="s">
        <v>35</v>
      </c>
      <c r="AI3" s="19" t="s">
        <v>36</v>
      </c>
      <c r="AJ3" s="19" t="s">
        <v>37</v>
      </c>
      <c r="AK3" s="19" t="s">
        <v>28</v>
      </c>
      <c r="AL3" s="18" t="s">
        <v>38</v>
      </c>
      <c r="AN3" s="9" t="s">
        <v>39</v>
      </c>
      <c r="AO3" s="9" t="s">
        <v>40</v>
      </c>
      <c r="AQ3" s="20" t="s">
        <v>41</v>
      </c>
      <c r="AU3" s="16" t="s">
        <v>42</v>
      </c>
      <c r="AV3" s="14" t="s">
        <v>43</v>
      </c>
      <c r="AW3" s="14" t="s">
        <v>44</v>
      </c>
      <c r="AX3" s="14"/>
      <c r="AY3" s="14"/>
      <c r="AZ3" s="16" t="s">
        <v>45</v>
      </c>
      <c r="BA3" s="14" t="s">
        <v>46</v>
      </c>
      <c r="BB3" s="17" t="s">
        <v>47</v>
      </c>
      <c r="BC3" s="14" t="s">
        <v>48</v>
      </c>
      <c r="BD3" s="14" t="s">
        <v>49</v>
      </c>
      <c r="BF3" s="19" t="s">
        <v>50</v>
      </c>
      <c r="BG3" s="19" t="s">
        <v>51</v>
      </c>
      <c r="BH3" s="7"/>
      <c r="BI3" s="19" t="s">
        <v>52</v>
      </c>
      <c r="BJ3" s="19" t="s">
        <v>53</v>
      </c>
    </row>
    <row r="4" spans="1:62" s="9" customFormat="1" ht="12" customHeight="1" outlineLevel="1">
      <c r="A4" s="21">
        <v>43132</v>
      </c>
      <c r="B4" s="21" t="s">
        <v>54</v>
      </c>
      <c r="C4" s="22"/>
      <c r="D4" s="23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4"/>
      <c r="R4" s="24"/>
      <c r="S4" s="24"/>
      <c r="T4" s="24"/>
      <c r="U4" s="25"/>
      <c r="V4" s="24"/>
      <c r="W4" s="24"/>
      <c r="X4" s="24"/>
      <c r="Y4" s="24"/>
      <c r="Z4" s="26"/>
      <c r="AB4" s="27"/>
      <c r="AC4" s="27"/>
      <c r="AD4" s="27"/>
      <c r="AE4" s="26"/>
      <c r="AF4" s="27"/>
      <c r="AG4" s="27"/>
      <c r="AI4" s="28"/>
      <c r="AJ4" s="28"/>
      <c r="AK4" s="28"/>
      <c r="AL4" s="28"/>
      <c r="AM4" s="28"/>
      <c r="AN4" s="28"/>
      <c r="AO4" s="28"/>
      <c r="AQ4" s="29"/>
      <c r="AU4" s="25"/>
      <c r="AV4" s="24"/>
      <c r="AW4" s="24"/>
      <c r="AX4" s="24"/>
      <c r="AY4" s="24"/>
      <c r="AZ4" s="25"/>
      <c r="BA4" s="24"/>
      <c r="BB4" s="24"/>
      <c r="BC4" s="24"/>
      <c r="BD4" s="24"/>
      <c r="BF4" s="27"/>
      <c r="BG4" s="27"/>
      <c r="BH4" s="27"/>
      <c r="BI4" s="28"/>
      <c r="BJ4" s="28"/>
    </row>
    <row r="5" spans="1:62" s="9" customFormat="1" ht="12" customHeight="1" outlineLevel="1">
      <c r="A5" s="21">
        <v>43160</v>
      </c>
      <c r="B5" s="21" t="s">
        <v>55</v>
      </c>
      <c r="C5" s="22"/>
      <c r="D5" s="23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5"/>
      <c r="Q5" s="24"/>
      <c r="R5" s="24"/>
      <c r="S5" s="24"/>
      <c r="T5" s="24"/>
      <c r="U5" s="25"/>
      <c r="V5" s="24"/>
      <c r="W5" s="24">
        <v>1129</v>
      </c>
      <c r="X5" s="24"/>
      <c r="Y5" s="24"/>
      <c r="Z5" s="26"/>
      <c r="AB5" s="27"/>
      <c r="AC5" s="27"/>
      <c r="AD5" s="27"/>
      <c r="AE5" s="26"/>
      <c r="AF5" s="27"/>
      <c r="AG5" s="27"/>
      <c r="AI5" s="27"/>
      <c r="AJ5" s="27"/>
      <c r="AK5" s="27"/>
      <c r="AL5" s="27"/>
      <c r="AM5" s="28"/>
      <c r="AN5" s="28"/>
      <c r="AO5" s="28"/>
      <c r="AQ5" s="29"/>
      <c r="AU5" s="25"/>
      <c r="AV5" s="24"/>
      <c r="AW5" s="24"/>
      <c r="AX5" s="24"/>
      <c r="AY5" s="24"/>
      <c r="AZ5" s="25"/>
      <c r="BA5" s="24"/>
      <c r="BB5" s="24"/>
      <c r="BC5" s="24"/>
      <c r="BD5" s="24"/>
      <c r="BF5" s="27"/>
      <c r="BG5" s="27"/>
      <c r="BH5" s="27"/>
      <c r="BI5" s="27"/>
      <c r="BJ5" s="27"/>
    </row>
    <row r="6" spans="1:62" ht="12" customHeight="1" outlineLevel="1">
      <c r="A6" s="21">
        <v>43191</v>
      </c>
      <c r="B6" s="21" t="s">
        <v>56</v>
      </c>
      <c r="C6" s="22">
        <v>160970</v>
      </c>
      <c r="D6" s="23">
        <v>157020</v>
      </c>
      <c r="E6" s="24">
        <v>33366</v>
      </c>
      <c r="F6" s="24">
        <v>26030</v>
      </c>
      <c r="G6" s="24">
        <v>8730</v>
      </c>
      <c r="H6" s="24">
        <v>620</v>
      </c>
      <c r="I6" s="24">
        <v>4140</v>
      </c>
      <c r="J6" s="24">
        <v>9610</v>
      </c>
      <c r="K6" s="24">
        <v>490</v>
      </c>
      <c r="L6" s="24">
        <v>690</v>
      </c>
      <c r="M6" s="24">
        <v>220</v>
      </c>
      <c r="N6" s="24"/>
      <c r="O6" s="24">
        <v>1280</v>
      </c>
      <c r="P6" s="25">
        <v>11040</v>
      </c>
      <c r="Q6" s="24">
        <v>2200</v>
      </c>
      <c r="R6" s="24">
        <v>990</v>
      </c>
      <c r="S6" s="24">
        <v>2500</v>
      </c>
      <c r="T6" s="24"/>
      <c r="U6" s="25">
        <v>7890</v>
      </c>
      <c r="V6" s="24"/>
      <c r="W6" s="24">
        <v>10550</v>
      </c>
      <c r="X6" s="24"/>
      <c r="Y6" s="24"/>
      <c r="Z6" s="26">
        <v>3950</v>
      </c>
      <c r="AB6" s="27">
        <v>154</v>
      </c>
      <c r="AC6" s="27">
        <v>9</v>
      </c>
      <c r="AD6" s="27"/>
      <c r="AE6" s="26">
        <v>2.9950999999999999</v>
      </c>
      <c r="AF6" s="27">
        <v>-3</v>
      </c>
      <c r="AG6" s="27"/>
      <c r="AI6" s="30">
        <v>71.688311688311686</v>
      </c>
      <c r="AJ6" s="27">
        <v>876.66666666666663</v>
      </c>
      <c r="AK6" s="30"/>
      <c r="AL6" s="27">
        <v>1318.8207405428868</v>
      </c>
      <c r="AM6" s="27"/>
      <c r="AN6" s="27">
        <v>100426</v>
      </c>
      <c r="AO6" s="27">
        <v>60550</v>
      </c>
      <c r="AP6" s="31"/>
      <c r="AQ6" s="32"/>
      <c r="AT6" s="27">
        <v>31700</v>
      </c>
      <c r="AU6" s="25">
        <v>20900</v>
      </c>
      <c r="AV6" s="24">
        <v>3470</v>
      </c>
      <c r="AW6" s="24">
        <v>3990</v>
      </c>
      <c r="AX6" s="24"/>
      <c r="AY6" s="24"/>
      <c r="AZ6" s="25">
        <v>10800</v>
      </c>
      <c r="BA6" s="24">
        <v>-2130</v>
      </c>
      <c r="BB6" s="24">
        <v>1030</v>
      </c>
      <c r="BC6" s="24">
        <v>-1400</v>
      </c>
      <c r="BD6" s="24">
        <v>20</v>
      </c>
      <c r="BE6" s="3"/>
      <c r="BF6" s="27">
        <v>19</v>
      </c>
      <c r="BG6" s="27">
        <v>3</v>
      </c>
      <c r="BH6" s="27"/>
      <c r="BI6" s="27">
        <f>AU6/BF6</f>
        <v>1100</v>
      </c>
      <c r="BJ6" s="27">
        <f t="shared" ref="BJ6:BJ46" si="0">AZ6/BG6</f>
        <v>3600</v>
      </c>
    </row>
    <row r="7" spans="1:62" ht="12" customHeight="1" outlineLevel="1">
      <c r="A7" s="21">
        <v>43221</v>
      </c>
      <c r="B7" s="21" t="s">
        <v>57</v>
      </c>
      <c r="C7" s="22">
        <v>156020</v>
      </c>
      <c r="D7" s="23">
        <v>156020</v>
      </c>
      <c r="E7" s="24">
        <v>34530</v>
      </c>
      <c r="F7" s="24">
        <v>26030</v>
      </c>
      <c r="G7" s="24">
        <v>8730</v>
      </c>
      <c r="H7" s="24">
        <v>620</v>
      </c>
      <c r="I7" s="24">
        <v>4150</v>
      </c>
      <c r="J7" s="24">
        <v>9610</v>
      </c>
      <c r="K7" s="24">
        <v>490</v>
      </c>
      <c r="L7" s="24">
        <v>690</v>
      </c>
      <c r="M7" s="24">
        <v>220</v>
      </c>
      <c r="N7" s="24"/>
      <c r="O7" s="24">
        <v>1280</v>
      </c>
      <c r="P7" s="25">
        <v>15050</v>
      </c>
      <c r="Q7" s="24">
        <v>560</v>
      </c>
      <c r="R7" s="24">
        <v>1170</v>
      </c>
      <c r="S7" s="24">
        <v>2500</v>
      </c>
      <c r="T7" s="24">
        <v>-560</v>
      </c>
      <c r="U7" s="25">
        <v>6850</v>
      </c>
      <c r="V7" s="24"/>
      <c r="W7" s="24">
        <v>10550</v>
      </c>
      <c r="X7" s="24"/>
      <c r="Y7" s="24"/>
      <c r="Z7" s="26">
        <v>0</v>
      </c>
      <c r="AB7" s="27">
        <v>193</v>
      </c>
      <c r="AC7" s="27">
        <v>7</v>
      </c>
      <c r="AD7" s="27"/>
      <c r="AE7" s="26"/>
      <c r="AF7" s="27"/>
      <c r="AG7" s="27"/>
      <c r="AI7" s="30">
        <v>77.979274611398964</v>
      </c>
      <c r="AJ7" s="27">
        <v>978.57142857142856</v>
      </c>
      <c r="AK7" s="30"/>
      <c r="AL7" s="27">
        <v>0</v>
      </c>
      <c r="AM7" s="27"/>
      <c r="AN7" s="27">
        <v>98160</v>
      </c>
      <c r="AO7" s="27">
        <v>57860</v>
      </c>
      <c r="AP7" s="31"/>
      <c r="AQ7" s="32"/>
      <c r="AT7" s="27">
        <v>29990</v>
      </c>
      <c r="AU7" s="25">
        <v>19190</v>
      </c>
      <c r="AV7" s="24">
        <v>3470</v>
      </c>
      <c r="AW7" s="24">
        <v>1210</v>
      </c>
      <c r="AX7" s="24"/>
      <c r="AY7" s="24"/>
      <c r="AZ7" s="25">
        <v>10800</v>
      </c>
      <c r="BA7" s="24">
        <v>-2120</v>
      </c>
      <c r="BB7" s="24">
        <v>980</v>
      </c>
      <c r="BC7" s="24"/>
      <c r="BD7" s="24">
        <v>20</v>
      </c>
      <c r="BE7" s="3"/>
      <c r="BF7" s="27">
        <v>19</v>
      </c>
      <c r="BG7" s="27">
        <v>3</v>
      </c>
      <c r="BH7" s="27"/>
      <c r="BI7" s="27">
        <f>AU7/BF7</f>
        <v>1010</v>
      </c>
      <c r="BJ7" s="27">
        <f t="shared" si="0"/>
        <v>3600</v>
      </c>
    </row>
    <row r="8" spans="1:62" ht="12" customHeight="1" outlineLevel="1">
      <c r="A8" s="21">
        <v>43252</v>
      </c>
      <c r="B8" s="21" t="s">
        <v>58</v>
      </c>
      <c r="C8" s="22">
        <v>142750</v>
      </c>
      <c r="D8" s="23">
        <v>138090</v>
      </c>
      <c r="E8" s="24">
        <v>33370</v>
      </c>
      <c r="F8" s="24">
        <v>26030</v>
      </c>
      <c r="G8" s="24">
        <v>8730</v>
      </c>
      <c r="H8" s="24">
        <v>620</v>
      </c>
      <c r="I8" s="24">
        <v>4150</v>
      </c>
      <c r="J8" s="24">
        <v>9680</v>
      </c>
      <c r="K8" s="24">
        <v>490</v>
      </c>
      <c r="L8" s="24">
        <v>690</v>
      </c>
      <c r="M8" s="24">
        <v>220</v>
      </c>
      <c r="N8" s="24"/>
      <c r="O8" s="24">
        <v>1280</v>
      </c>
      <c r="P8" s="25">
        <v>11720</v>
      </c>
      <c r="Q8" s="24">
        <v>1850</v>
      </c>
      <c r="R8" s="24">
        <v>1130</v>
      </c>
      <c r="S8" s="24">
        <v>2500</v>
      </c>
      <c r="T8" s="24">
        <v>-1680</v>
      </c>
      <c r="U8" s="25">
        <v>10000</v>
      </c>
      <c r="V8" s="24"/>
      <c r="W8" s="24">
        <v>10550</v>
      </c>
      <c r="X8" s="24"/>
      <c r="Y8" s="24"/>
      <c r="Z8" s="26">
        <v>4660</v>
      </c>
      <c r="AB8" s="27">
        <v>156</v>
      </c>
      <c r="AC8" s="27">
        <v>11</v>
      </c>
      <c r="AD8" s="27"/>
      <c r="AE8" s="26">
        <v>3.9935999999999998</v>
      </c>
      <c r="AF8" s="27">
        <v>0</v>
      </c>
      <c r="AG8" s="27">
        <v>3</v>
      </c>
      <c r="AI8" s="30">
        <v>75.128205128205124</v>
      </c>
      <c r="AJ8" s="27">
        <v>909.09090909090912</v>
      </c>
      <c r="AK8" s="30"/>
      <c r="AL8" s="27">
        <v>1166.8669871794873</v>
      </c>
      <c r="AM8" s="27"/>
      <c r="AN8" s="27">
        <v>98220</v>
      </c>
      <c r="AO8" s="27">
        <v>44530</v>
      </c>
      <c r="AP8" s="31"/>
      <c r="AQ8" s="32"/>
      <c r="AT8" s="27">
        <v>12180</v>
      </c>
      <c r="AU8" s="25">
        <v>1080</v>
      </c>
      <c r="AV8" s="24">
        <v>3470</v>
      </c>
      <c r="AW8" s="24">
        <v>2250</v>
      </c>
      <c r="AX8" s="24"/>
      <c r="AY8" s="24"/>
      <c r="AZ8" s="25">
        <v>11100</v>
      </c>
      <c r="BA8" s="24">
        <v>-2130</v>
      </c>
      <c r="BB8" s="24">
        <v>970</v>
      </c>
      <c r="BC8" s="24"/>
      <c r="BD8" s="24">
        <v>20</v>
      </c>
      <c r="BE8" s="3"/>
      <c r="BF8" s="27">
        <v>1</v>
      </c>
      <c r="BG8" s="27">
        <v>3</v>
      </c>
      <c r="BH8" s="27"/>
      <c r="BI8" s="27">
        <f>AU8/BF8</f>
        <v>1080</v>
      </c>
      <c r="BJ8" s="27">
        <f t="shared" si="0"/>
        <v>3700</v>
      </c>
    </row>
    <row r="9" spans="1:62" ht="12" customHeight="1" outlineLevel="1">
      <c r="A9" s="21">
        <v>43282</v>
      </c>
      <c r="B9" s="21" t="s">
        <v>59</v>
      </c>
      <c r="C9" s="22">
        <v>133740</v>
      </c>
      <c r="D9" s="23">
        <v>133740</v>
      </c>
      <c r="E9" s="24">
        <v>33900</v>
      </c>
      <c r="F9" s="24">
        <v>26080</v>
      </c>
      <c r="G9" s="24">
        <v>8730</v>
      </c>
      <c r="H9" s="24">
        <v>620</v>
      </c>
      <c r="I9" s="24">
        <v>4150</v>
      </c>
      <c r="J9" s="24">
        <v>9610</v>
      </c>
      <c r="K9" s="24">
        <v>490</v>
      </c>
      <c r="L9" s="24">
        <v>690</v>
      </c>
      <c r="M9" s="24">
        <v>220</v>
      </c>
      <c r="N9" s="24"/>
      <c r="O9" s="24">
        <v>1280</v>
      </c>
      <c r="P9" s="25">
        <v>14330</v>
      </c>
      <c r="Q9" s="24">
        <v>1090</v>
      </c>
      <c r="R9" s="24">
        <v>1440</v>
      </c>
      <c r="S9" s="24">
        <v>2500</v>
      </c>
      <c r="T9" s="24">
        <v>-560</v>
      </c>
      <c r="U9" s="25">
        <v>8200</v>
      </c>
      <c r="V9" s="24"/>
      <c r="W9" s="24">
        <v>10550</v>
      </c>
      <c r="X9" s="24"/>
      <c r="Y9" s="24"/>
      <c r="Z9" s="26">
        <v>0</v>
      </c>
      <c r="AB9" s="27">
        <v>185</v>
      </c>
      <c r="AC9" s="27">
        <v>8</v>
      </c>
      <c r="AD9" s="27"/>
      <c r="AE9" s="26"/>
      <c r="AF9" s="27"/>
      <c r="AG9" s="27"/>
      <c r="AI9" s="30">
        <v>77.459459459459453</v>
      </c>
      <c r="AJ9" s="27">
        <v>1025</v>
      </c>
      <c r="AK9" s="30"/>
      <c r="AL9" s="27">
        <v>0</v>
      </c>
      <c r="AM9" s="27"/>
      <c r="AN9" s="27">
        <v>97840</v>
      </c>
      <c r="AO9" s="27">
        <v>35900</v>
      </c>
      <c r="AP9" s="31"/>
      <c r="AQ9" s="32"/>
      <c r="AT9" s="27">
        <v>7400</v>
      </c>
      <c r="AU9" s="25">
        <v>0</v>
      </c>
      <c r="AV9" s="24">
        <v>3470</v>
      </c>
      <c r="AW9" s="24">
        <v>770</v>
      </c>
      <c r="AX9" s="24"/>
      <c r="AY9" s="24"/>
      <c r="AZ9" s="25">
        <v>7400</v>
      </c>
      <c r="BA9" s="24">
        <v>-2130</v>
      </c>
      <c r="BB9" s="24">
        <v>890</v>
      </c>
      <c r="BC9" s="24"/>
      <c r="BD9" s="24">
        <v>20</v>
      </c>
      <c r="BE9" s="3"/>
      <c r="BF9" s="27">
        <v>0</v>
      </c>
      <c r="BG9" s="27">
        <v>2</v>
      </c>
      <c r="BH9" s="27"/>
      <c r="BI9" s="27">
        <v>0</v>
      </c>
      <c r="BJ9" s="27">
        <f t="shared" si="0"/>
        <v>3700</v>
      </c>
    </row>
    <row r="10" spans="1:62" ht="12" customHeight="1" outlineLevel="1">
      <c r="A10" s="21">
        <v>43313</v>
      </c>
      <c r="B10" s="21" t="s">
        <v>60</v>
      </c>
      <c r="C10" s="22">
        <v>136380</v>
      </c>
      <c r="D10" s="23">
        <v>131650</v>
      </c>
      <c r="E10" s="24">
        <v>33940</v>
      </c>
      <c r="F10" s="24">
        <v>26200</v>
      </c>
      <c r="G10" s="24">
        <v>8730</v>
      </c>
      <c r="H10" s="24">
        <v>620</v>
      </c>
      <c r="I10" s="24">
        <v>4150</v>
      </c>
      <c r="J10" s="24">
        <v>9610</v>
      </c>
      <c r="K10" s="24">
        <v>490</v>
      </c>
      <c r="L10" s="24">
        <v>690</v>
      </c>
      <c r="M10" s="24">
        <v>220</v>
      </c>
      <c r="N10" s="24"/>
      <c r="O10" s="24">
        <v>1280</v>
      </c>
      <c r="P10" s="25">
        <v>12880</v>
      </c>
      <c r="Q10" s="24">
        <v>2930</v>
      </c>
      <c r="R10" s="24">
        <v>1310</v>
      </c>
      <c r="S10" s="24">
        <v>2500</v>
      </c>
      <c r="T10" s="24">
        <v>-2420</v>
      </c>
      <c r="U10" s="25">
        <v>8070</v>
      </c>
      <c r="V10" s="24"/>
      <c r="W10" s="24">
        <v>10550</v>
      </c>
      <c r="X10" s="24"/>
      <c r="Y10" s="24"/>
      <c r="Z10" s="26">
        <v>4730</v>
      </c>
      <c r="AB10" s="27">
        <v>169</v>
      </c>
      <c r="AC10" s="27">
        <v>10</v>
      </c>
      <c r="AD10" s="27"/>
      <c r="AE10" s="26">
        <v>3.9935999999999998</v>
      </c>
      <c r="AF10" s="27">
        <v>4</v>
      </c>
      <c r="AG10" s="27">
        <v>4</v>
      </c>
      <c r="AI10" s="30">
        <v>76.213017751479285</v>
      </c>
      <c r="AJ10" s="27">
        <v>807</v>
      </c>
      <c r="AK10" s="30"/>
      <c r="AL10" s="27">
        <v>1184.3950320512822</v>
      </c>
      <c r="AM10" s="27"/>
      <c r="AN10" s="27">
        <v>97330</v>
      </c>
      <c r="AO10" s="27">
        <v>39050</v>
      </c>
      <c r="AP10" s="31"/>
      <c r="AQ10" s="32"/>
      <c r="AT10" s="27">
        <v>7400</v>
      </c>
      <c r="AU10" s="25">
        <v>0</v>
      </c>
      <c r="AV10" s="24">
        <v>3470</v>
      </c>
      <c r="AW10" s="24">
        <v>0</v>
      </c>
      <c r="AX10" s="24"/>
      <c r="AY10" s="24"/>
      <c r="AZ10" s="25">
        <v>7400</v>
      </c>
      <c r="BA10" s="24">
        <v>-2130</v>
      </c>
      <c r="BB10" s="24">
        <v>1140</v>
      </c>
      <c r="BC10" s="24"/>
      <c r="BD10" s="24">
        <v>20</v>
      </c>
      <c r="BE10" s="3"/>
      <c r="BF10" s="27">
        <v>0</v>
      </c>
      <c r="BG10" s="27">
        <v>2</v>
      </c>
      <c r="BH10" s="27"/>
      <c r="BI10" s="27">
        <v>0</v>
      </c>
      <c r="BJ10" s="27">
        <f t="shared" si="0"/>
        <v>3700</v>
      </c>
    </row>
    <row r="11" spans="1:62" ht="12" customHeight="1" outlineLevel="1">
      <c r="A11" s="21">
        <v>43344</v>
      </c>
      <c r="B11" s="21" t="s">
        <v>61</v>
      </c>
      <c r="C11" s="22">
        <v>143210</v>
      </c>
      <c r="D11" s="23">
        <v>143210</v>
      </c>
      <c r="E11" s="24">
        <v>33490</v>
      </c>
      <c r="F11" s="24">
        <v>26200</v>
      </c>
      <c r="G11" s="24">
        <v>8730</v>
      </c>
      <c r="H11" s="24">
        <v>620</v>
      </c>
      <c r="I11" s="24">
        <v>4160</v>
      </c>
      <c r="J11" s="24">
        <v>9610</v>
      </c>
      <c r="K11" s="24">
        <v>490</v>
      </c>
      <c r="L11" s="24">
        <v>690</v>
      </c>
      <c r="M11" s="24">
        <v>220</v>
      </c>
      <c r="N11" s="24"/>
      <c r="O11" s="24">
        <v>1280</v>
      </c>
      <c r="P11" s="25">
        <v>40570</v>
      </c>
      <c r="Q11" s="24">
        <v>0</v>
      </c>
      <c r="R11" s="24">
        <v>1340</v>
      </c>
      <c r="S11" s="24">
        <v>2500</v>
      </c>
      <c r="T11" s="24">
        <v>-11890</v>
      </c>
      <c r="U11" s="25">
        <v>8640</v>
      </c>
      <c r="V11" s="24"/>
      <c r="W11" s="24">
        <v>10550</v>
      </c>
      <c r="X11" s="24"/>
      <c r="Y11" s="24"/>
      <c r="Z11" s="26">
        <v>0</v>
      </c>
      <c r="AB11" s="27">
        <v>375</v>
      </c>
      <c r="AC11" s="27">
        <v>9</v>
      </c>
      <c r="AD11" s="27"/>
      <c r="AE11" s="26"/>
      <c r="AF11" s="27"/>
      <c r="AG11" s="27"/>
      <c r="AI11" s="30">
        <v>108.18666666666667</v>
      </c>
      <c r="AJ11" s="27">
        <v>960</v>
      </c>
      <c r="AK11" s="30"/>
      <c r="AL11" s="27">
        <v>0</v>
      </c>
      <c r="AM11" s="27"/>
      <c r="AN11" s="27">
        <v>84330</v>
      </c>
      <c r="AO11" s="27">
        <v>58880</v>
      </c>
      <c r="AP11" s="31"/>
      <c r="AQ11" s="32"/>
      <c r="AT11" s="27">
        <v>3700</v>
      </c>
      <c r="AU11" s="25">
        <v>0</v>
      </c>
      <c r="AV11" s="24">
        <v>3470</v>
      </c>
      <c r="AW11" s="24">
        <v>0</v>
      </c>
      <c r="AX11" s="24"/>
      <c r="AY11" s="24"/>
      <c r="AZ11" s="25">
        <v>3700</v>
      </c>
      <c r="BA11" s="24">
        <v>-2130</v>
      </c>
      <c r="BB11" s="24">
        <v>950</v>
      </c>
      <c r="BC11" s="24"/>
      <c r="BD11" s="24">
        <v>20</v>
      </c>
      <c r="BE11" s="3"/>
      <c r="BF11" s="27">
        <v>0</v>
      </c>
      <c r="BG11" s="27">
        <v>1</v>
      </c>
      <c r="BH11" s="27"/>
      <c r="BI11" s="27">
        <v>0</v>
      </c>
      <c r="BJ11" s="27">
        <f t="shared" si="0"/>
        <v>3700</v>
      </c>
    </row>
    <row r="12" spans="1:62" ht="12" customHeight="1" outlineLevel="1">
      <c r="A12" s="21">
        <v>43374</v>
      </c>
      <c r="B12" s="21" t="s">
        <v>62</v>
      </c>
      <c r="C12" s="22">
        <v>130260</v>
      </c>
      <c r="D12" s="23">
        <v>125510</v>
      </c>
      <c r="E12" s="24">
        <v>32980</v>
      </c>
      <c r="F12" s="24">
        <v>26200</v>
      </c>
      <c r="G12" s="24">
        <v>8730</v>
      </c>
      <c r="H12" s="24">
        <v>620</v>
      </c>
      <c r="I12" s="24">
        <v>4170</v>
      </c>
      <c r="J12" s="24">
        <v>9610</v>
      </c>
      <c r="K12" s="24">
        <v>490</v>
      </c>
      <c r="L12" s="24">
        <v>690</v>
      </c>
      <c r="M12" s="24">
        <v>220</v>
      </c>
      <c r="N12" s="24"/>
      <c r="O12" s="24">
        <v>1280</v>
      </c>
      <c r="P12" s="25">
        <v>15290</v>
      </c>
      <c r="Q12" s="24">
        <v>620</v>
      </c>
      <c r="R12" s="24">
        <v>1600</v>
      </c>
      <c r="S12" s="24">
        <v>2500</v>
      </c>
      <c r="T12" s="24">
        <v>-2560</v>
      </c>
      <c r="U12" s="25">
        <v>6720</v>
      </c>
      <c r="V12" s="24"/>
      <c r="W12" s="24">
        <v>10550</v>
      </c>
      <c r="X12" s="24"/>
      <c r="Y12" s="24"/>
      <c r="Z12" s="33">
        <v>4750</v>
      </c>
      <c r="AB12" s="27">
        <v>199</v>
      </c>
      <c r="AC12" s="27">
        <v>7</v>
      </c>
      <c r="AD12" s="27"/>
      <c r="AE12" s="33">
        <v>3.9935999999999998</v>
      </c>
      <c r="AF12" s="27">
        <v>8</v>
      </c>
      <c r="AG12" s="27">
        <v>4</v>
      </c>
      <c r="AI12" s="30">
        <v>76.834170854271363</v>
      </c>
      <c r="AJ12" s="27">
        <v>960</v>
      </c>
      <c r="AK12" s="30"/>
      <c r="AL12" s="27">
        <v>1189.4030448717949</v>
      </c>
      <c r="AM12" s="27"/>
      <c r="AN12" s="27">
        <v>93830</v>
      </c>
      <c r="AO12" s="27">
        <v>36430</v>
      </c>
      <c r="AP12" s="31"/>
      <c r="AQ12" s="32"/>
      <c r="AT12" s="27">
        <v>3700</v>
      </c>
      <c r="AU12" s="25">
        <v>0</v>
      </c>
      <c r="AV12" s="24">
        <v>3470</v>
      </c>
      <c r="AW12" s="24">
        <v>0</v>
      </c>
      <c r="AX12" s="24"/>
      <c r="AY12" s="24"/>
      <c r="AZ12" s="25">
        <v>3700</v>
      </c>
      <c r="BA12" s="24">
        <v>-2130</v>
      </c>
      <c r="BB12" s="24">
        <v>740</v>
      </c>
      <c r="BC12" s="24"/>
      <c r="BD12" s="24">
        <v>20</v>
      </c>
      <c r="BE12" s="3"/>
      <c r="BF12" s="27">
        <v>0</v>
      </c>
      <c r="BG12" s="27">
        <v>1</v>
      </c>
      <c r="BH12" s="27"/>
      <c r="BI12" s="27">
        <v>0</v>
      </c>
      <c r="BJ12" s="27">
        <f t="shared" si="0"/>
        <v>3700</v>
      </c>
    </row>
    <row r="13" spans="1:62" ht="12" customHeight="1" outlineLevel="1">
      <c r="A13" s="21">
        <v>43405</v>
      </c>
      <c r="B13" s="21" t="s">
        <v>63</v>
      </c>
      <c r="C13" s="22">
        <v>139050</v>
      </c>
      <c r="D13" s="23">
        <v>139050</v>
      </c>
      <c r="E13" s="24">
        <v>33200</v>
      </c>
      <c r="F13" s="24">
        <v>26260</v>
      </c>
      <c r="G13" s="24">
        <v>8800</v>
      </c>
      <c r="H13" s="24">
        <v>620</v>
      </c>
      <c r="I13" s="24">
        <v>4160</v>
      </c>
      <c r="J13" s="24">
        <v>9610</v>
      </c>
      <c r="K13" s="24">
        <v>490</v>
      </c>
      <c r="L13" s="24">
        <v>690</v>
      </c>
      <c r="M13" s="24">
        <v>220</v>
      </c>
      <c r="N13" s="24"/>
      <c r="O13" s="24">
        <v>1280</v>
      </c>
      <c r="P13" s="25">
        <v>15780</v>
      </c>
      <c r="Q13" s="24">
        <v>1380</v>
      </c>
      <c r="R13" s="24">
        <v>1260</v>
      </c>
      <c r="S13" s="24">
        <v>2500</v>
      </c>
      <c r="T13" s="24">
        <v>-2560</v>
      </c>
      <c r="U13" s="25">
        <v>8640</v>
      </c>
      <c r="V13" s="24"/>
      <c r="W13" s="24">
        <v>10550</v>
      </c>
      <c r="X13" s="24"/>
      <c r="Y13" s="24"/>
      <c r="Z13" s="33">
        <v>0</v>
      </c>
      <c r="AB13" s="27">
        <v>200</v>
      </c>
      <c r="AC13" s="27">
        <v>9</v>
      </c>
      <c r="AD13" s="27"/>
      <c r="AE13" s="33"/>
      <c r="AF13" s="27"/>
      <c r="AG13" s="27"/>
      <c r="AI13" s="30">
        <v>78.900000000000006</v>
      </c>
      <c r="AJ13" s="27">
        <v>960</v>
      </c>
      <c r="AK13" s="30"/>
      <c r="AL13" s="27">
        <v>0</v>
      </c>
      <c r="AM13" s="27"/>
      <c r="AN13" s="27">
        <v>97760</v>
      </c>
      <c r="AO13" s="27">
        <v>41290</v>
      </c>
      <c r="AP13" s="31"/>
      <c r="AQ13" s="32"/>
      <c r="AT13" s="27">
        <v>10900</v>
      </c>
      <c r="AU13" s="25">
        <v>3300</v>
      </c>
      <c r="AV13" s="24">
        <v>3470</v>
      </c>
      <c r="AW13" s="24">
        <v>2860</v>
      </c>
      <c r="AX13" s="24"/>
      <c r="AY13" s="24"/>
      <c r="AZ13" s="25">
        <v>7600</v>
      </c>
      <c r="BA13" s="24">
        <v>-2130</v>
      </c>
      <c r="BB13" s="24">
        <v>1050</v>
      </c>
      <c r="BC13" s="24"/>
      <c r="BD13" s="24">
        <v>20</v>
      </c>
      <c r="BE13" s="3"/>
      <c r="BF13" s="27">
        <v>3</v>
      </c>
      <c r="BG13" s="27">
        <v>2</v>
      </c>
      <c r="BH13" s="27"/>
      <c r="BI13" s="27">
        <f t="shared" ref="BI13:BI21" si="1">AU13/BF13</f>
        <v>1100</v>
      </c>
      <c r="BJ13" s="27">
        <f t="shared" si="0"/>
        <v>3800</v>
      </c>
    </row>
    <row r="14" spans="1:62" ht="12" customHeight="1" outlineLevel="1">
      <c r="A14" s="34">
        <v>43435</v>
      </c>
      <c r="B14" s="34" t="s">
        <v>64</v>
      </c>
      <c r="C14" s="35">
        <v>189170</v>
      </c>
      <c r="D14" s="36">
        <v>183670</v>
      </c>
      <c r="E14" s="37">
        <v>33090</v>
      </c>
      <c r="F14" s="37">
        <v>26260</v>
      </c>
      <c r="G14" s="37">
        <v>8800</v>
      </c>
      <c r="H14" s="37">
        <v>620</v>
      </c>
      <c r="I14" s="37">
        <v>4160</v>
      </c>
      <c r="J14" s="37">
        <v>9610</v>
      </c>
      <c r="K14" s="37">
        <v>490</v>
      </c>
      <c r="L14" s="37">
        <v>690</v>
      </c>
      <c r="M14" s="37">
        <v>220</v>
      </c>
      <c r="N14" s="37"/>
      <c r="O14" s="37">
        <v>1280</v>
      </c>
      <c r="P14" s="38">
        <v>21070</v>
      </c>
      <c r="Q14" s="37">
        <v>3020</v>
      </c>
      <c r="R14" s="37">
        <v>1210</v>
      </c>
      <c r="S14" s="37">
        <v>2500</v>
      </c>
      <c r="T14" s="37">
        <v>-2360</v>
      </c>
      <c r="U14" s="38">
        <v>8640</v>
      </c>
      <c r="V14" s="37">
        <v>-860</v>
      </c>
      <c r="W14" s="37">
        <v>10550</v>
      </c>
      <c r="X14" s="37"/>
      <c r="Y14" s="37"/>
      <c r="Z14" s="39">
        <v>5500</v>
      </c>
      <c r="AA14" s="40"/>
      <c r="AB14" s="41">
        <v>211</v>
      </c>
      <c r="AC14" s="41">
        <v>9</v>
      </c>
      <c r="AD14" s="41"/>
      <c r="AE14" s="39">
        <v>4.992</v>
      </c>
      <c r="AF14" s="41">
        <v>13</v>
      </c>
      <c r="AG14" s="41">
        <v>5</v>
      </c>
      <c r="AH14" s="40"/>
      <c r="AI14" s="42">
        <v>99.857819905213276</v>
      </c>
      <c r="AJ14" s="41">
        <v>960</v>
      </c>
      <c r="AK14" s="42"/>
      <c r="AL14" s="41">
        <v>1101.7628205128206</v>
      </c>
      <c r="AM14" s="41"/>
      <c r="AN14" s="41">
        <v>100010</v>
      </c>
      <c r="AO14" s="41">
        <v>89160</v>
      </c>
      <c r="AP14" s="43"/>
      <c r="AQ14" s="44"/>
      <c r="AR14" s="40"/>
      <c r="AS14" s="40"/>
      <c r="AT14" s="41">
        <v>47980</v>
      </c>
      <c r="AU14" s="38">
        <v>36580</v>
      </c>
      <c r="AV14" s="37">
        <v>3470</v>
      </c>
      <c r="AW14" s="37">
        <v>4280</v>
      </c>
      <c r="AX14" s="37"/>
      <c r="AY14" s="37"/>
      <c r="AZ14" s="38">
        <v>11400</v>
      </c>
      <c r="BA14" s="37">
        <v>-2130</v>
      </c>
      <c r="BB14" s="37">
        <v>1060</v>
      </c>
      <c r="BC14" s="41"/>
      <c r="BD14" s="37">
        <v>20</v>
      </c>
      <c r="BE14" s="45"/>
      <c r="BF14" s="41">
        <v>31</v>
      </c>
      <c r="BG14" s="41">
        <v>3</v>
      </c>
      <c r="BH14" s="41"/>
      <c r="BI14" s="41">
        <f t="shared" si="1"/>
        <v>1180</v>
      </c>
      <c r="BJ14" s="41">
        <f t="shared" si="0"/>
        <v>3800</v>
      </c>
    </row>
    <row r="15" spans="1:62" ht="12" customHeight="1" outlineLevel="1">
      <c r="A15" s="21">
        <v>43466</v>
      </c>
      <c r="B15" s="21" t="s">
        <v>65</v>
      </c>
      <c r="C15" s="22">
        <v>195900</v>
      </c>
      <c r="D15" s="23">
        <v>195900</v>
      </c>
      <c r="E15" s="24">
        <v>32970</v>
      </c>
      <c r="F15" s="24">
        <v>26240</v>
      </c>
      <c r="G15" s="24">
        <v>8800</v>
      </c>
      <c r="H15" s="24">
        <v>620</v>
      </c>
      <c r="I15" s="24">
        <v>4160</v>
      </c>
      <c r="J15" s="24">
        <v>9610</v>
      </c>
      <c r="K15" s="24">
        <v>490</v>
      </c>
      <c r="L15" s="24">
        <v>690</v>
      </c>
      <c r="M15" s="24">
        <v>220</v>
      </c>
      <c r="N15" s="24"/>
      <c r="O15" s="24">
        <v>1280</v>
      </c>
      <c r="P15" s="25">
        <v>19900</v>
      </c>
      <c r="Q15" s="24">
        <v>1030</v>
      </c>
      <c r="R15" s="24">
        <v>1150</v>
      </c>
      <c r="S15" s="24">
        <v>2500</v>
      </c>
      <c r="T15" s="24">
        <v>-4370</v>
      </c>
      <c r="U15" s="25">
        <v>6720</v>
      </c>
      <c r="V15" s="24">
        <v>160</v>
      </c>
      <c r="W15" s="24">
        <v>10550</v>
      </c>
      <c r="X15" s="24"/>
      <c r="Y15" s="24"/>
      <c r="Z15" s="33">
        <v>0</v>
      </c>
      <c r="AB15" s="27">
        <v>204</v>
      </c>
      <c r="AC15" s="27">
        <v>7</v>
      </c>
      <c r="AD15" s="27"/>
      <c r="AE15" s="33"/>
      <c r="AF15" s="27"/>
      <c r="AG15" s="27"/>
      <c r="AI15" s="30">
        <v>97.549019607843135</v>
      </c>
      <c r="AJ15" s="27">
        <v>960</v>
      </c>
      <c r="AK15" s="30"/>
      <c r="AL15" s="27">
        <v>0</v>
      </c>
      <c r="AM15" s="27"/>
      <c r="AN15" s="27">
        <v>95510</v>
      </c>
      <c r="AO15" s="27">
        <v>100390</v>
      </c>
      <c r="AP15" s="31"/>
      <c r="AQ15" s="32"/>
      <c r="AT15" s="27">
        <v>67800</v>
      </c>
      <c r="AU15" s="25">
        <v>60200</v>
      </c>
      <c r="AV15" s="24">
        <v>3470</v>
      </c>
      <c r="AW15" s="24">
        <v>4250</v>
      </c>
      <c r="AX15" s="24"/>
      <c r="AY15" s="24"/>
      <c r="AZ15" s="25">
        <v>7600</v>
      </c>
      <c r="BA15" s="24">
        <v>-3270</v>
      </c>
      <c r="BB15" s="24">
        <v>910</v>
      </c>
      <c r="BC15" s="27"/>
      <c r="BD15" s="24">
        <v>20</v>
      </c>
      <c r="BE15" s="3"/>
      <c r="BF15" s="27">
        <v>43</v>
      </c>
      <c r="BG15" s="27">
        <v>2</v>
      </c>
      <c r="BH15" s="27"/>
      <c r="BI15" s="27">
        <f t="shared" si="1"/>
        <v>1400</v>
      </c>
      <c r="BJ15" s="27">
        <f t="shared" si="0"/>
        <v>3800</v>
      </c>
    </row>
    <row r="16" spans="1:62" ht="12" customHeight="1" outlineLevel="1">
      <c r="A16" s="21">
        <v>43497</v>
      </c>
      <c r="B16" s="21" t="s">
        <v>66</v>
      </c>
      <c r="C16" s="22">
        <v>225630</v>
      </c>
      <c r="D16" s="23">
        <v>221590</v>
      </c>
      <c r="E16" s="46">
        <v>33120</v>
      </c>
      <c r="F16" s="46">
        <v>29870</v>
      </c>
      <c r="G16" s="46">
        <v>10060</v>
      </c>
      <c r="H16" s="46">
        <v>620</v>
      </c>
      <c r="I16" s="46">
        <v>4160</v>
      </c>
      <c r="J16" s="46">
        <v>9610</v>
      </c>
      <c r="K16" s="46">
        <v>490</v>
      </c>
      <c r="L16" s="46">
        <v>690</v>
      </c>
      <c r="M16" s="46">
        <v>220</v>
      </c>
      <c r="N16" s="46"/>
      <c r="O16" s="46">
        <v>1280</v>
      </c>
      <c r="P16" s="47">
        <v>26930</v>
      </c>
      <c r="Q16" s="46">
        <v>2070</v>
      </c>
      <c r="R16" s="46">
        <v>1380</v>
      </c>
      <c r="S16" s="46">
        <v>2500</v>
      </c>
      <c r="T16" s="46">
        <v>-1120</v>
      </c>
      <c r="U16" s="47">
        <v>6720</v>
      </c>
      <c r="V16" s="46">
        <v>-2380</v>
      </c>
      <c r="W16" s="46">
        <v>12170</v>
      </c>
      <c r="X16" s="46"/>
      <c r="Y16" s="46"/>
      <c r="Z16" s="33">
        <v>4040</v>
      </c>
      <c r="AB16" s="48">
        <v>246</v>
      </c>
      <c r="AC16" s="48">
        <v>7</v>
      </c>
      <c r="AD16" s="48"/>
      <c r="AE16" s="33">
        <v>2.9952000000000001</v>
      </c>
      <c r="AF16" s="27">
        <v>16</v>
      </c>
      <c r="AG16" s="27">
        <v>3</v>
      </c>
      <c r="AI16" s="30">
        <v>109.47154471544715</v>
      </c>
      <c r="AJ16" s="27">
        <v>960</v>
      </c>
      <c r="AK16" s="30"/>
      <c r="AL16" s="27">
        <v>1348.8247863247864</v>
      </c>
      <c r="AM16" s="27"/>
      <c r="AN16" s="27">
        <v>105620</v>
      </c>
      <c r="AO16" s="27">
        <v>120010</v>
      </c>
      <c r="AP16" s="31"/>
      <c r="AQ16" s="32"/>
      <c r="AT16" s="27">
        <v>76350</v>
      </c>
      <c r="AU16" s="47">
        <v>68750</v>
      </c>
      <c r="AV16" s="46">
        <v>3470</v>
      </c>
      <c r="AW16" s="46">
        <v>2490</v>
      </c>
      <c r="AX16" s="46"/>
      <c r="AY16" s="46"/>
      <c r="AZ16" s="47">
        <v>7600</v>
      </c>
      <c r="BA16" s="46">
        <v>0</v>
      </c>
      <c r="BB16" s="46">
        <v>870</v>
      </c>
      <c r="BC16" s="27"/>
      <c r="BD16" s="46">
        <v>20</v>
      </c>
      <c r="BE16" s="3"/>
      <c r="BF16" s="48">
        <v>55</v>
      </c>
      <c r="BG16" s="48">
        <v>2</v>
      </c>
      <c r="BH16" s="48"/>
      <c r="BI16" s="27">
        <f t="shared" si="1"/>
        <v>1250</v>
      </c>
      <c r="BJ16" s="27">
        <f t="shared" si="0"/>
        <v>3800</v>
      </c>
    </row>
    <row r="17" spans="1:62" ht="12" customHeight="1" outlineLevel="1">
      <c r="A17" s="21">
        <v>43525</v>
      </c>
      <c r="B17" s="21" t="s">
        <v>67</v>
      </c>
      <c r="C17" s="22">
        <v>216490</v>
      </c>
      <c r="D17" s="23">
        <v>216490</v>
      </c>
      <c r="E17" s="46">
        <v>33180</v>
      </c>
      <c r="F17" s="46">
        <v>29870</v>
      </c>
      <c r="G17" s="46">
        <v>10060</v>
      </c>
      <c r="H17" s="46">
        <v>620</v>
      </c>
      <c r="I17" s="46">
        <v>4160</v>
      </c>
      <c r="J17" s="46">
        <v>9610</v>
      </c>
      <c r="K17" s="46">
        <v>490</v>
      </c>
      <c r="L17" s="46">
        <v>690</v>
      </c>
      <c r="M17" s="46">
        <v>220</v>
      </c>
      <c r="N17" s="46"/>
      <c r="O17" s="46">
        <v>1280</v>
      </c>
      <c r="P17" s="47">
        <v>22070</v>
      </c>
      <c r="Q17" s="46">
        <v>2400</v>
      </c>
      <c r="R17" s="46">
        <v>1310</v>
      </c>
      <c r="S17" s="46">
        <v>2500</v>
      </c>
      <c r="T17" s="46">
        <v>0</v>
      </c>
      <c r="U17" s="47">
        <v>6720</v>
      </c>
      <c r="V17" s="46">
        <v>1610</v>
      </c>
      <c r="W17" s="46">
        <v>12170</v>
      </c>
      <c r="X17" s="46"/>
      <c r="Y17" s="46"/>
      <c r="Z17" s="33">
        <v>0</v>
      </c>
      <c r="AB17" s="48">
        <v>217</v>
      </c>
      <c r="AC17" s="48">
        <v>7</v>
      </c>
      <c r="AD17" s="48"/>
      <c r="AE17" s="33"/>
      <c r="AF17" s="27"/>
      <c r="AG17" s="27"/>
      <c r="AI17" s="30">
        <v>101.70506912442396</v>
      </c>
      <c r="AJ17" s="27">
        <v>960</v>
      </c>
      <c r="AK17" s="30"/>
      <c r="AL17" s="27">
        <v>0</v>
      </c>
      <c r="AM17" s="27"/>
      <c r="AN17" s="27">
        <v>109080</v>
      </c>
      <c r="AO17" s="27">
        <v>107410</v>
      </c>
      <c r="AP17" s="31"/>
      <c r="AQ17" s="32"/>
      <c r="AT17" s="27">
        <v>72650</v>
      </c>
      <c r="AU17" s="47">
        <v>61250</v>
      </c>
      <c r="AV17" s="46">
        <v>3470</v>
      </c>
      <c r="AW17" s="46">
        <v>490</v>
      </c>
      <c r="AX17" s="46"/>
      <c r="AY17" s="46"/>
      <c r="AZ17" s="47">
        <v>11400</v>
      </c>
      <c r="BA17" s="46">
        <v>0</v>
      </c>
      <c r="BB17" s="46">
        <v>900</v>
      </c>
      <c r="BC17" s="27"/>
      <c r="BD17" s="46">
        <v>20</v>
      </c>
      <c r="BE17" s="3"/>
      <c r="BF17" s="48">
        <v>49</v>
      </c>
      <c r="BG17" s="48">
        <v>3</v>
      </c>
      <c r="BH17" s="48"/>
      <c r="BI17" s="27">
        <f t="shared" si="1"/>
        <v>1250</v>
      </c>
      <c r="BJ17" s="27">
        <f t="shared" si="0"/>
        <v>3800</v>
      </c>
    </row>
    <row r="18" spans="1:62" ht="12" customHeight="1" outlineLevel="1">
      <c r="A18" s="21">
        <v>43556</v>
      </c>
      <c r="B18" s="21" t="s">
        <v>68</v>
      </c>
      <c r="C18" s="22">
        <v>189890</v>
      </c>
      <c r="D18" s="23">
        <v>185850</v>
      </c>
      <c r="E18" s="46">
        <v>33110</v>
      </c>
      <c r="F18" s="46">
        <v>29820</v>
      </c>
      <c r="G18" s="46">
        <v>10060</v>
      </c>
      <c r="H18" s="46">
        <v>620</v>
      </c>
      <c r="I18" s="46">
        <v>4160</v>
      </c>
      <c r="J18" s="46">
        <v>9610</v>
      </c>
      <c r="K18" s="46">
        <v>490</v>
      </c>
      <c r="L18" s="46">
        <v>690</v>
      </c>
      <c r="M18" s="46">
        <v>220</v>
      </c>
      <c r="N18" s="46"/>
      <c r="O18" s="46">
        <v>1280</v>
      </c>
      <c r="P18" s="47">
        <v>13200</v>
      </c>
      <c r="Q18" s="46">
        <v>1850</v>
      </c>
      <c r="R18" s="46">
        <v>1100</v>
      </c>
      <c r="S18" s="46">
        <v>2500</v>
      </c>
      <c r="T18" s="46">
        <v>-3990</v>
      </c>
      <c r="U18" s="47">
        <v>6720</v>
      </c>
      <c r="V18" s="46">
        <v>-750</v>
      </c>
      <c r="W18" s="46">
        <v>12170</v>
      </c>
      <c r="X18" s="46"/>
      <c r="Y18" s="46"/>
      <c r="Z18" s="33">
        <v>4040</v>
      </c>
      <c r="AB18" s="48">
        <v>171</v>
      </c>
      <c r="AC18" s="48">
        <v>7</v>
      </c>
      <c r="AD18" s="48"/>
      <c r="AE18" s="33">
        <v>2.9958</v>
      </c>
      <c r="AF18" s="27">
        <v>19</v>
      </c>
      <c r="AG18" s="27">
        <v>3</v>
      </c>
      <c r="AI18" s="30">
        <v>77.192982456140356</v>
      </c>
      <c r="AJ18" s="27">
        <v>960</v>
      </c>
      <c r="AK18" s="30"/>
      <c r="AL18" s="27">
        <v>1348.5546431671005</v>
      </c>
      <c r="AM18" s="27"/>
      <c r="AN18" s="27">
        <v>104800</v>
      </c>
      <c r="AO18" s="27">
        <v>85090</v>
      </c>
      <c r="AP18" s="31"/>
      <c r="AQ18" s="32"/>
      <c r="AT18" s="27">
        <v>55160</v>
      </c>
      <c r="AU18" s="47">
        <v>47360</v>
      </c>
      <c r="AV18" s="46">
        <v>3470</v>
      </c>
      <c r="AW18" s="46">
        <v>4420</v>
      </c>
      <c r="AX18" s="46"/>
      <c r="AY18" s="46"/>
      <c r="AZ18" s="47">
        <v>7800</v>
      </c>
      <c r="BA18" s="46">
        <v>-910</v>
      </c>
      <c r="BB18" s="46">
        <v>830</v>
      </c>
      <c r="BC18" s="27"/>
      <c r="BD18" s="46">
        <v>20</v>
      </c>
      <c r="BE18" s="3"/>
      <c r="BF18" s="48">
        <v>32</v>
      </c>
      <c r="BG18" s="48">
        <v>2</v>
      </c>
      <c r="BH18" s="48"/>
      <c r="BI18" s="27">
        <f t="shared" si="1"/>
        <v>1480</v>
      </c>
      <c r="BJ18" s="27">
        <f t="shared" si="0"/>
        <v>3900</v>
      </c>
    </row>
    <row r="19" spans="1:62" ht="12" customHeight="1" outlineLevel="1">
      <c r="A19" s="49">
        <v>43586</v>
      </c>
      <c r="B19" s="49" t="s">
        <v>69</v>
      </c>
      <c r="C19" s="22">
        <v>171620</v>
      </c>
      <c r="D19" s="23">
        <v>171620</v>
      </c>
      <c r="E19" s="46">
        <v>33530</v>
      </c>
      <c r="F19" s="46">
        <v>29860</v>
      </c>
      <c r="G19" s="46">
        <v>10060</v>
      </c>
      <c r="H19" s="46">
        <v>620</v>
      </c>
      <c r="I19" s="46">
        <v>4160</v>
      </c>
      <c r="J19" s="46">
        <v>9610</v>
      </c>
      <c r="K19" s="46">
        <v>490</v>
      </c>
      <c r="L19" s="46">
        <v>690</v>
      </c>
      <c r="M19" s="46">
        <v>220</v>
      </c>
      <c r="N19" s="46"/>
      <c r="O19" s="46">
        <v>1280</v>
      </c>
      <c r="P19" s="47">
        <v>14180</v>
      </c>
      <c r="Q19" s="46">
        <v>650</v>
      </c>
      <c r="R19" s="46">
        <v>1210</v>
      </c>
      <c r="S19" s="46">
        <v>2500</v>
      </c>
      <c r="T19" s="46">
        <v>-2710</v>
      </c>
      <c r="U19" s="47">
        <v>7030</v>
      </c>
      <c r="V19" s="46">
        <v>0</v>
      </c>
      <c r="W19" s="46">
        <v>12170</v>
      </c>
      <c r="X19" s="46"/>
      <c r="Y19" s="46"/>
      <c r="Z19" s="33">
        <v>0</v>
      </c>
      <c r="AB19" s="48">
        <v>182</v>
      </c>
      <c r="AC19" s="48">
        <v>8</v>
      </c>
      <c r="AD19" s="48"/>
      <c r="AE19" s="33"/>
      <c r="AF19" s="27"/>
      <c r="AG19" s="27"/>
      <c r="AI19" s="30">
        <v>77.912087912087912</v>
      </c>
      <c r="AJ19" s="27">
        <v>878.75</v>
      </c>
      <c r="AK19" s="30"/>
      <c r="AL19" s="27">
        <v>0</v>
      </c>
      <c r="AM19" s="27"/>
      <c r="AN19" s="27">
        <v>101840</v>
      </c>
      <c r="AO19" s="27">
        <v>69780</v>
      </c>
      <c r="AP19" s="31"/>
      <c r="AQ19" s="32"/>
      <c r="AT19" s="27">
        <v>42600</v>
      </c>
      <c r="AU19" s="47">
        <v>31200</v>
      </c>
      <c r="AV19" s="46">
        <v>3470</v>
      </c>
      <c r="AW19" s="46">
        <v>0</v>
      </c>
      <c r="AX19" s="46"/>
      <c r="AY19" s="46"/>
      <c r="AZ19" s="47">
        <v>11400</v>
      </c>
      <c r="BA19" s="46">
        <v>-910</v>
      </c>
      <c r="BB19" s="46">
        <v>890</v>
      </c>
      <c r="BC19" s="27"/>
      <c r="BD19" s="46">
        <v>20</v>
      </c>
      <c r="BE19" s="3"/>
      <c r="BF19" s="48">
        <v>24</v>
      </c>
      <c r="BG19" s="48">
        <v>3</v>
      </c>
      <c r="BH19" s="48"/>
      <c r="BI19" s="27">
        <f t="shared" si="1"/>
        <v>1300</v>
      </c>
      <c r="BJ19" s="27">
        <f t="shared" si="0"/>
        <v>3800</v>
      </c>
    </row>
    <row r="20" spans="1:62" ht="12" customHeight="1" outlineLevel="1">
      <c r="A20" s="49">
        <v>43617</v>
      </c>
      <c r="B20" s="49" t="s">
        <v>70</v>
      </c>
      <c r="C20" s="22">
        <v>152450</v>
      </c>
      <c r="D20" s="23">
        <v>147670</v>
      </c>
      <c r="E20" s="46">
        <v>34300</v>
      </c>
      <c r="F20" s="46">
        <v>29860</v>
      </c>
      <c r="G20" s="46">
        <v>10060</v>
      </c>
      <c r="H20" s="46">
        <v>620</v>
      </c>
      <c r="I20" s="46">
        <v>4160</v>
      </c>
      <c r="J20" s="46">
        <v>9610</v>
      </c>
      <c r="K20" s="46">
        <v>490</v>
      </c>
      <c r="L20" s="46">
        <v>690</v>
      </c>
      <c r="M20" s="46">
        <v>220</v>
      </c>
      <c r="N20" s="46"/>
      <c r="O20" s="46">
        <v>1280</v>
      </c>
      <c r="P20" s="47">
        <v>10530</v>
      </c>
      <c r="Q20" s="46">
        <v>1900</v>
      </c>
      <c r="R20" s="46">
        <v>1180</v>
      </c>
      <c r="S20" s="46">
        <v>2500</v>
      </c>
      <c r="T20" s="46">
        <v>-3120</v>
      </c>
      <c r="U20" s="47">
        <v>8610</v>
      </c>
      <c r="V20" s="46">
        <v>0</v>
      </c>
      <c r="W20" s="46">
        <v>12170</v>
      </c>
      <c r="X20" s="46"/>
      <c r="Y20" s="46"/>
      <c r="Z20" s="33">
        <v>4780</v>
      </c>
      <c r="AB20" s="48">
        <v>141</v>
      </c>
      <c r="AC20" s="48">
        <v>9</v>
      </c>
      <c r="AD20" s="48"/>
      <c r="AE20" s="33">
        <v>3.3994800000000001</v>
      </c>
      <c r="AF20" s="27">
        <v>23</v>
      </c>
      <c r="AG20" s="27">
        <v>4</v>
      </c>
      <c r="AI20" s="30">
        <v>74.680851063829792</v>
      </c>
      <c r="AJ20" s="27">
        <v>956.66666666666663</v>
      </c>
      <c r="AK20" s="30"/>
      <c r="AL20" s="27">
        <v>1406.0974031322437</v>
      </c>
      <c r="AM20" s="27"/>
      <c r="AN20" s="27">
        <v>104560</v>
      </c>
      <c r="AO20" s="27">
        <v>47890</v>
      </c>
      <c r="AP20" s="31"/>
      <c r="AQ20" s="32"/>
      <c r="AT20" s="27">
        <v>18000</v>
      </c>
      <c r="AU20" s="47">
        <v>10400</v>
      </c>
      <c r="AV20" s="46">
        <v>3470</v>
      </c>
      <c r="AW20" s="46">
        <v>1140</v>
      </c>
      <c r="AX20" s="46"/>
      <c r="AY20" s="46"/>
      <c r="AZ20" s="47">
        <v>7600</v>
      </c>
      <c r="BA20" s="46">
        <v>-910</v>
      </c>
      <c r="BB20" s="46">
        <v>890</v>
      </c>
      <c r="BC20" s="27"/>
      <c r="BD20" s="46">
        <v>20</v>
      </c>
      <c r="BE20" s="3"/>
      <c r="BF20" s="48">
        <v>8</v>
      </c>
      <c r="BG20" s="48">
        <v>2</v>
      </c>
      <c r="BH20" s="48"/>
      <c r="BI20" s="27">
        <f t="shared" si="1"/>
        <v>1300</v>
      </c>
      <c r="BJ20" s="27">
        <f t="shared" si="0"/>
        <v>3800</v>
      </c>
    </row>
    <row r="21" spans="1:62" ht="12" customHeight="1" outlineLevel="1">
      <c r="A21" s="49">
        <v>43647</v>
      </c>
      <c r="B21" s="49" t="s">
        <v>71</v>
      </c>
      <c r="C21" s="22">
        <v>126770</v>
      </c>
      <c r="D21" s="23">
        <v>126770</v>
      </c>
      <c r="E21" s="46">
        <v>33690</v>
      </c>
      <c r="F21" s="46">
        <v>29860</v>
      </c>
      <c r="G21" s="46">
        <v>10060</v>
      </c>
      <c r="H21" s="46">
        <v>620</v>
      </c>
      <c r="I21" s="46">
        <v>4120</v>
      </c>
      <c r="J21" s="46">
        <v>9610</v>
      </c>
      <c r="K21" s="46">
        <v>490</v>
      </c>
      <c r="L21" s="46">
        <v>690</v>
      </c>
      <c r="M21" s="46">
        <v>220</v>
      </c>
      <c r="N21" s="46"/>
      <c r="O21" s="46">
        <v>1280</v>
      </c>
      <c r="P21" s="47">
        <v>11070</v>
      </c>
      <c r="Q21" s="46">
        <v>890</v>
      </c>
      <c r="R21" s="46">
        <v>1320</v>
      </c>
      <c r="S21" s="46">
        <v>2500</v>
      </c>
      <c r="T21" s="46">
        <v>-3300</v>
      </c>
      <c r="U21" s="47">
        <v>0</v>
      </c>
      <c r="V21" s="46">
        <v>0</v>
      </c>
      <c r="W21" s="46">
        <v>12170</v>
      </c>
      <c r="X21" s="46"/>
      <c r="Y21" s="46"/>
      <c r="Z21" s="33">
        <v>0</v>
      </c>
      <c r="AB21" s="48">
        <v>147</v>
      </c>
      <c r="AC21" s="48">
        <v>0</v>
      </c>
      <c r="AD21" s="48"/>
      <c r="AE21" s="33"/>
      <c r="AF21" s="27"/>
      <c r="AG21" s="27"/>
      <c r="AI21" s="30">
        <v>75.306122448979593</v>
      </c>
      <c r="AJ21" s="27">
        <v>0</v>
      </c>
      <c r="AK21" s="30"/>
      <c r="AL21" s="27">
        <v>0</v>
      </c>
      <c r="AM21" s="27"/>
      <c r="AN21" s="27">
        <v>100830</v>
      </c>
      <c r="AO21" s="27">
        <v>25940</v>
      </c>
      <c r="AP21" s="31"/>
      <c r="AQ21" s="32"/>
      <c r="AT21" s="27">
        <v>8900</v>
      </c>
      <c r="AU21" s="47">
        <v>1300</v>
      </c>
      <c r="AV21" s="46">
        <v>3470</v>
      </c>
      <c r="AW21" s="46">
        <v>0</v>
      </c>
      <c r="AX21" s="46"/>
      <c r="AY21" s="46"/>
      <c r="AZ21" s="47">
        <v>7600</v>
      </c>
      <c r="BA21" s="46">
        <v>-910</v>
      </c>
      <c r="BB21" s="46">
        <v>0</v>
      </c>
      <c r="BC21" s="27"/>
      <c r="BD21" s="46">
        <v>20</v>
      </c>
      <c r="BE21" s="3"/>
      <c r="BF21" s="48">
        <v>1</v>
      </c>
      <c r="BG21" s="48">
        <v>2</v>
      </c>
      <c r="BH21" s="48"/>
      <c r="BI21" s="27">
        <f t="shared" si="1"/>
        <v>1300</v>
      </c>
      <c r="BJ21" s="27">
        <f t="shared" si="0"/>
        <v>3800</v>
      </c>
    </row>
    <row r="22" spans="1:62" ht="12" customHeight="1" outlineLevel="1">
      <c r="A22" s="49">
        <v>43678</v>
      </c>
      <c r="B22" s="49" t="s">
        <v>72</v>
      </c>
      <c r="C22" s="22">
        <v>131270</v>
      </c>
      <c r="D22" s="23">
        <v>127170</v>
      </c>
      <c r="E22" s="46">
        <v>33830</v>
      </c>
      <c r="F22" s="46">
        <v>29860</v>
      </c>
      <c r="G22" s="46">
        <v>10060</v>
      </c>
      <c r="H22" s="46">
        <v>620</v>
      </c>
      <c r="I22" s="46">
        <v>4130</v>
      </c>
      <c r="J22" s="46">
        <v>9610</v>
      </c>
      <c r="K22" s="46">
        <v>490</v>
      </c>
      <c r="L22" s="46">
        <v>690</v>
      </c>
      <c r="M22" s="46">
        <v>220</v>
      </c>
      <c r="N22" s="46"/>
      <c r="O22" s="46">
        <v>1280</v>
      </c>
      <c r="P22" s="47">
        <v>11330</v>
      </c>
      <c r="Q22" s="46">
        <v>1430</v>
      </c>
      <c r="R22" s="46">
        <v>1330</v>
      </c>
      <c r="S22" s="46">
        <v>2500</v>
      </c>
      <c r="T22" s="46">
        <v>-2560</v>
      </c>
      <c r="U22" s="47">
        <v>0</v>
      </c>
      <c r="V22" s="46">
        <v>0</v>
      </c>
      <c r="W22" s="46">
        <v>12170</v>
      </c>
      <c r="X22" s="46"/>
      <c r="Y22" s="46"/>
      <c r="Z22" s="33">
        <v>4100</v>
      </c>
      <c r="AB22" s="48">
        <v>150</v>
      </c>
      <c r="AC22" s="48">
        <v>0</v>
      </c>
      <c r="AD22" s="48"/>
      <c r="AE22" s="33">
        <v>2.9961000000000002</v>
      </c>
      <c r="AF22" s="27">
        <v>26</v>
      </c>
      <c r="AG22" s="27">
        <v>3</v>
      </c>
      <c r="AI22" s="30">
        <v>75.533333333333331</v>
      </c>
      <c r="AJ22" s="27">
        <v>0</v>
      </c>
      <c r="AK22" s="30"/>
      <c r="AL22" s="27">
        <v>1368.445646006475</v>
      </c>
      <c r="AM22" s="27"/>
      <c r="AN22" s="27">
        <v>102270</v>
      </c>
      <c r="AO22" s="27">
        <v>29000</v>
      </c>
      <c r="AP22" s="31"/>
      <c r="AQ22" s="32"/>
      <c r="AT22" s="27">
        <v>7600</v>
      </c>
      <c r="AU22" s="47">
        <v>0</v>
      </c>
      <c r="AV22" s="46">
        <v>3470</v>
      </c>
      <c r="AW22" s="46">
        <v>0</v>
      </c>
      <c r="AX22" s="46"/>
      <c r="AY22" s="46"/>
      <c r="AZ22" s="47">
        <v>7600</v>
      </c>
      <c r="BA22" s="46">
        <v>-910</v>
      </c>
      <c r="BB22" s="46">
        <v>0</v>
      </c>
      <c r="BC22" s="27"/>
      <c r="BD22" s="46">
        <v>20</v>
      </c>
      <c r="BE22" s="3"/>
      <c r="BF22" s="48">
        <v>0</v>
      </c>
      <c r="BG22" s="48">
        <v>2</v>
      </c>
      <c r="BH22" s="48"/>
      <c r="BI22" s="27">
        <v>0</v>
      </c>
      <c r="BJ22" s="27">
        <f t="shared" si="0"/>
        <v>3800</v>
      </c>
    </row>
    <row r="23" spans="1:62" ht="12" customHeight="1" outlineLevel="1">
      <c r="A23" s="49">
        <v>43709</v>
      </c>
      <c r="B23" s="49" t="s">
        <v>73</v>
      </c>
      <c r="C23" s="22">
        <v>134150</v>
      </c>
      <c r="D23" s="23">
        <v>134150</v>
      </c>
      <c r="E23" s="46">
        <v>33970</v>
      </c>
      <c r="F23" s="46">
        <v>29920</v>
      </c>
      <c r="G23" s="46">
        <v>10060</v>
      </c>
      <c r="H23" s="46">
        <v>620</v>
      </c>
      <c r="I23" s="46">
        <v>4130</v>
      </c>
      <c r="J23" s="46">
        <v>9610</v>
      </c>
      <c r="K23" s="46">
        <v>490</v>
      </c>
      <c r="L23" s="46">
        <v>690</v>
      </c>
      <c r="M23" s="46">
        <v>220</v>
      </c>
      <c r="N23" s="46"/>
      <c r="O23" s="46">
        <v>1280</v>
      </c>
      <c r="P23" s="47">
        <v>22720</v>
      </c>
      <c r="Q23" s="46">
        <v>680</v>
      </c>
      <c r="R23" s="46">
        <v>1270</v>
      </c>
      <c r="S23" s="46">
        <v>2500</v>
      </c>
      <c r="T23" s="46">
        <v>-2560</v>
      </c>
      <c r="U23" s="47">
        <v>0</v>
      </c>
      <c r="V23" s="46">
        <v>0</v>
      </c>
      <c r="W23" s="46">
        <v>12170</v>
      </c>
      <c r="X23" s="46"/>
      <c r="Y23" s="46"/>
      <c r="Z23" s="33">
        <v>0</v>
      </c>
      <c r="AB23" s="48">
        <v>246</v>
      </c>
      <c r="AC23" s="48">
        <v>0</v>
      </c>
      <c r="AD23" s="48"/>
      <c r="AE23" s="33"/>
      <c r="AF23" s="27"/>
      <c r="AG23" s="27"/>
      <c r="AI23" s="30">
        <v>92.357723577235774</v>
      </c>
      <c r="AJ23" s="27">
        <v>0</v>
      </c>
      <c r="AK23" s="30"/>
      <c r="AL23" s="27">
        <v>0</v>
      </c>
      <c r="AM23" s="27"/>
      <c r="AN23" s="27">
        <v>101660</v>
      </c>
      <c r="AO23" s="27">
        <v>32490</v>
      </c>
      <c r="AP23" s="31"/>
      <c r="AQ23" s="32"/>
      <c r="AT23" s="27">
        <v>3800</v>
      </c>
      <c r="AU23" s="47">
        <v>0</v>
      </c>
      <c r="AV23" s="46">
        <v>3470</v>
      </c>
      <c r="AW23" s="46">
        <v>0</v>
      </c>
      <c r="AX23" s="46"/>
      <c r="AY23" s="46"/>
      <c r="AZ23" s="47">
        <v>3800</v>
      </c>
      <c r="BA23" s="46">
        <v>-910</v>
      </c>
      <c r="BB23" s="46">
        <v>0</v>
      </c>
      <c r="BC23" s="27"/>
      <c r="BD23" s="46">
        <v>20</v>
      </c>
      <c r="BE23" s="3"/>
      <c r="BF23" s="48">
        <v>0</v>
      </c>
      <c r="BG23" s="48">
        <v>1</v>
      </c>
      <c r="BH23" s="48"/>
      <c r="BI23" s="27">
        <v>0</v>
      </c>
      <c r="BJ23" s="27">
        <f t="shared" si="0"/>
        <v>3800</v>
      </c>
    </row>
    <row r="24" spans="1:62" ht="12" customHeight="1" outlineLevel="1">
      <c r="A24" s="49">
        <v>43739</v>
      </c>
      <c r="B24" s="49" t="s">
        <v>74</v>
      </c>
      <c r="C24" s="22">
        <v>138530</v>
      </c>
      <c r="D24" s="23">
        <v>132880</v>
      </c>
      <c r="E24" s="46">
        <v>34030</v>
      </c>
      <c r="F24" s="46">
        <v>29850</v>
      </c>
      <c r="G24" s="46">
        <v>10060</v>
      </c>
      <c r="H24" s="46">
        <v>620</v>
      </c>
      <c r="I24" s="46">
        <v>4130</v>
      </c>
      <c r="J24" s="46">
        <v>9610</v>
      </c>
      <c r="K24" s="46">
        <v>490</v>
      </c>
      <c r="L24" s="46">
        <v>760</v>
      </c>
      <c r="M24" s="46">
        <v>220</v>
      </c>
      <c r="N24" s="46"/>
      <c r="O24" s="46">
        <v>1280</v>
      </c>
      <c r="P24" s="47">
        <v>12220</v>
      </c>
      <c r="Q24" s="46">
        <v>320</v>
      </c>
      <c r="R24" s="46">
        <v>1480</v>
      </c>
      <c r="S24" s="46">
        <v>2500</v>
      </c>
      <c r="T24" s="46">
        <v>-2560</v>
      </c>
      <c r="U24" s="47">
        <v>7680</v>
      </c>
      <c r="V24" s="46">
        <v>290</v>
      </c>
      <c r="W24" s="46">
        <v>12170</v>
      </c>
      <c r="X24" s="46"/>
      <c r="Y24" s="46"/>
      <c r="Z24" s="33">
        <v>5650</v>
      </c>
      <c r="AB24" s="48">
        <v>160</v>
      </c>
      <c r="AC24" s="48">
        <v>8</v>
      </c>
      <c r="AD24" s="48"/>
      <c r="AE24" s="33">
        <v>4.9935</v>
      </c>
      <c r="AF24" s="27">
        <v>31</v>
      </c>
      <c r="AG24" s="27">
        <v>5</v>
      </c>
      <c r="AI24" s="30">
        <v>76.375</v>
      </c>
      <c r="AJ24" s="27">
        <v>960</v>
      </c>
      <c r="AK24" s="30"/>
      <c r="AL24" s="27">
        <v>1131.4709121858416</v>
      </c>
      <c r="AM24" s="27"/>
      <c r="AN24" s="27">
        <v>103060</v>
      </c>
      <c r="AO24" s="27">
        <v>35470</v>
      </c>
      <c r="AP24" s="31"/>
      <c r="AQ24" s="32"/>
      <c r="AT24" s="27">
        <v>3950</v>
      </c>
      <c r="AU24" s="47">
        <v>0</v>
      </c>
      <c r="AV24" s="46">
        <v>3470</v>
      </c>
      <c r="AW24" s="46">
        <v>1200</v>
      </c>
      <c r="AX24" s="46"/>
      <c r="AY24" s="46"/>
      <c r="AZ24" s="47">
        <v>3950</v>
      </c>
      <c r="BA24" s="46">
        <v>-910</v>
      </c>
      <c r="BB24" s="46">
        <v>0</v>
      </c>
      <c r="BC24" s="27"/>
      <c r="BD24" s="46">
        <v>20</v>
      </c>
      <c r="BE24" s="3"/>
      <c r="BF24" s="48">
        <v>0</v>
      </c>
      <c r="BG24" s="48">
        <v>1</v>
      </c>
      <c r="BH24" s="48"/>
      <c r="BI24" s="27">
        <v>0</v>
      </c>
      <c r="BJ24" s="27">
        <f t="shared" si="0"/>
        <v>3950</v>
      </c>
    </row>
    <row r="25" spans="1:62" ht="12" customHeight="1" outlineLevel="1">
      <c r="A25" s="49">
        <v>43770</v>
      </c>
      <c r="B25" s="49" t="s">
        <v>63</v>
      </c>
      <c r="C25" s="50">
        <v>138610</v>
      </c>
      <c r="D25" s="23">
        <v>138610</v>
      </c>
      <c r="E25" s="46">
        <v>34000</v>
      </c>
      <c r="F25" s="46">
        <v>29940</v>
      </c>
      <c r="G25" s="46">
        <v>9980</v>
      </c>
      <c r="H25" s="46">
        <v>620</v>
      </c>
      <c r="I25" s="46">
        <v>4120</v>
      </c>
      <c r="J25" s="46">
        <v>9610</v>
      </c>
      <c r="K25" s="46">
        <v>490</v>
      </c>
      <c r="L25" s="46">
        <v>760</v>
      </c>
      <c r="M25" s="46">
        <v>220</v>
      </c>
      <c r="N25" s="46"/>
      <c r="O25" s="46">
        <v>1280</v>
      </c>
      <c r="P25" s="47">
        <v>9190</v>
      </c>
      <c r="Q25" s="46">
        <v>1720</v>
      </c>
      <c r="R25" s="46">
        <v>1160</v>
      </c>
      <c r="S25" s="46">
        <v>2500</v>
      </c>
      <c r="T25" s="46">
        <v>-2380</v>
      </c>
      <c r="U25" s="47">
        <v>7860</v>
      </c>
      <c r="V25" s="46"/>
      <c r="W25" s="46">
        <v>12170</v>
      </c>
      <c r="X25" s="46"/>
      <c r="Y25" s="46"/>
      <c r="Z25" s="33">
        <v>0</v>
      </c>
      <c r="AB25" s="48">
        <v>126</v>
      </c>
      <c r="AC25" s="48">
        <v>9</v>
      </c>
      <c r="AD25" s="48"/>
      <c r="AE25" s="33"/>
      <c r="AF25" s="27"/>
      <c r="AG25" s="27"/>
      <c r="AI25" s="51">
        <v>72.936507936507937</v>
      </c>
      <c r="AJ25" s="48">
        <v>873.33333333333337</v>
      </c>
      <c r="AK25" s="51"/>
      <c r="AL25" s="48">
        <v>0</v>
      </c>
      <c r="AM25" s="27"/>
      <c r="AN25" s="27">
        <v>105090</v>
      </c>
      <c r="AO25" s="27">
        <v>33520</v>
      </c>
      <c r="AP25" s="31"/>
      <c r="AQ25" s="32"/>
      <c r="AT25" s="27">
        <v>10500</v>
      </c>
      <c r="AU25" s="47">
        <v>2600</v>
      </c>
      <c r="AV25" s="46">
        <v>3470</v>
      </c>
      <c r="AW25" s="46">
        <v>2290</v>
      </c>
      <c r="AX25" s="46"/>
      <c r="AY25" s="46"/>
      <c r="AZ25" s="47">
        <v>7900</v>
      </c>
      <c r="BA25" s="46">
        <v>-910</v>
      </c>
      <c r="BB25" s="46">
        <v>0</v>
      </c>
      <c r="BC25" s="46"/>
      <c r="BD25" s="46">
        <v>20</v>
      </c>
      <c r="BE25" s="3"/>
      <c r="BF25" s="48">
        <v>2</v>
      </c>
      <c r="BG25" s="48">
        <v>2</v>
      </c>
      <c r="BH25" s="48"/>
      <c r="BI25" s="27">
        <f t="shared" ref="BI25:BI32" si="2">AU25/BF25</f>
        <v>1300</v>
      </c>
      <c r="BJ25" s="48">
        <f t="shared" si="0"/>
        <v>3950</v>
      </c>
    </row>
    <row r="26" spans="1:62" ht="12" customHeight="1" outlineLevel="1">
      <c r="A26" s="52">
        <v>43800</v>
      </c>
      <c r="B26" s="52" t="s">
        <v>64</v>
      </c>
      <c r="C26" s="53">
        <v>159550</v>
      </c>
      <c r="D26" s="36">
        <v>155420</v>
      </c>
      <c r="E26" s="54">
        <v>33800</v>
      </c>
      <c r="F26" s="54">
        <v>29960</v>
      </c>
      <c r="G26" s="54">
        <v>9980</v>
      </c>
      <c r="H26" s="54">
        <v>620</v>
      </c>
      <c r="I26" s="54">
        <v>4130</v>
      </c>
      <c r="J26" s="54">
        <v>9610</v>
      </c>
      <c r="K26" s="54">
        <v>490</v>
      </c>
      <c r="L26" s="54">
        <v>760</v>
      </c>
      <c r="M26" s="54">
        <v>220</v>
      </c>
      <c r="N26" s="54"/>
      <c r="O26" s="54">
        <v>1280</v>
      </c>
      <c r="P26" s="55">
        <v>9100</v>
      </c>
      <c r="Q26" s="54">
        <v>2420</v>
      </c>
      <c r="R26" s="54">
        <v>1080</v>
      </c>
      <c r="S26" s="54">
        <v>2500</v>
      </c>
      <c r="T26" s="54"/>
      <c r="U26" s="55">
        <v>7680</v>
      </c>
      <c r="V26" s="54">
        <v>940</v>
      </c>
      <c r="W26" s="54">
        <v>12170</v>
      </c>
      <c r="X26" s="54"/>
      <c r="Y26" s="54"/>
      <c r="Z26" s="39">
        <v>4130</v>
      </c>
      <c r="AA26" s="40"/>
      <c r="AB26" s="56">
        <v>125</v>
      </c>
      <c r="AC26" s="56">
        <v>8</v>
      </c>
      <c r="AD26" s="56"/>
      <c r="AE26" s="39">
        <v>2.9961000000000002</v>
      </c>
      <c r="AF26" s="41">
        <v>34</v>
      </c>
      <c r="AG26" s="41">
        <v>3</v>
      </c>
      <c r="AH26" s="40"/>
      <c r="AI26" s="57">
        <v>72.8</v>
      </c>
      <c r="AJ26" s="56">
        <v>960</v>
      </c>
      <c r="AK26" s="57"/>
      <c r="AL26" s="41">
        <v>1378.4586629284736</v>
      </c>
      <c r="AM26" s="41"/>
      <c r="AN26" s="41">
        <v>106570</v>
      </c>
      <c r="AO26" s="41">
        <v>52980</v>
      </c>
      <c r="AP26" s="43"/>
      <c r="AQ26" s="44"/>
      <c r="AR26" s="40"/>
      <c r="AS26" s="40"/>
      <c r="AT26" s="41">
        <v>26100</v>
      </c>
      <c r="AU26" s="55">
        <v>18200</v>
      </c>
      <c r="AV26" s="54">
        <v>3470</v>
      </c>
      <c r="AW26" s="54">
        <v>0</v>
      </c>
      <c r="AX26" s="54"/>
      <c r="AY26" s="54"/>
      <c r="AZ26" s="55">
        <v>7900</v>
      </c>
      <c r="BA26" s="54">
        <v>-910</v>
      </c>
      <c r="BB26" s="54">
        <v>0</v>
      </c>
      <c r="BC26" s="54"/>
      <c r="BD26" s="54">
        <v>20</v>
      </c>
      <c r="BE26" s="45"/>
      <c r="BF26" s="56">
        <v>14</v>
      </c>
      <c r="BG26" s="56">
        <v>2</v>
      </c>
      <c r="BH26" s="56"/>
      <c r="BI26" s="41">
        <f t="shared" si="2"/>
        <v>1300</v>
      </c>
      <c r="BJ26" s="56">
        <f t="shared" si="0"/>
        <v>3950</v>
      </c>
    </row>
    <row r="27" spans="1:62" ht="12" customHeight="1" outlineLevel="1">
      <c r="A27" s="49">
        <v>43831</v>
      </c>
      <c r="B27" s="49" t="s">
        <v>65</v>
      </c>
      <c r="C27" s="50">
        <v>194700</v>
      </c>
      <c r="D27" s="23">
        <v>194700</v>
      </c>
      <c r="E27" s="46">
        <v>33840</v>
      </c>
      <c r="F27" s="46">
        <v>29990</v>
      </c>
      <c r="G27" s="46">
        <v>9980</v>
      </c>
      <c r="H27" s="46">
        <v>620</v>
      </c>
      <c r="I27" s="46">
        <v>4120</v>
      </c>
      <c r="J27" s="46">
        <v>9610</v>
      </c>
      <c r="K27" s="46">
        <v>490</v>
      </c>
      <c r="L27" s="46">
        <v>760</v>
      </c>
      <c r="M27" s="46">
        <v>220</v>
      </c>
      <c r="N27" s="46"/>
      <c r="O27" s="46">
        <v>1280</v>
      </c>
      <c r="P27" s="47">
        <v>12220</v>
      </c>
      <c r="Q27" s="46">
        <v>2460</v>
      </c>
      <c r="R27" s="46">
        <v>1240</v>
      </c>
      <c r="S27" s="46">
        <v>2500</v>
      </c>
      <c r="T27" s="46">
        <v>-950</v>
      </c>
      <c r="U27" s="47">
        <v>5660</v>
      </c>
      <c r="V27" s="46">
        <v>0</v>
      </c>
      <c r="W27" s="46">
        <v>12170</v>
      </c>
      <c r="X27" s="46"/>
      <c r="Y27" s="46"/>
      <c r="Z27" s="33">
        <v>0</v>
      </c>
      <c r="AB27" s="48">
        <v>160</v>
      </c>
      <c r="AC27" s="48">
        <v>7</v>
      </c>
      <c r="AD27" s="48"/>
      <c r="AE27" s="33"/>
      <c r="AF27" s="27"/>
      <c r="AG27" s="27"/>
      <c r="AI27" s="51">
        <v>76.375</v>
      </c>
      <c r="AJ27" s="48">
        <v>808.57142857142856</v>
      </c>
      <c r="AK27" s="51"/>
      <c r="AL27" s="58">
        <v>0</v>
      </c>
      <c r="AM27" s="27"/>
      <c r="AN27" s="27">
        <v>107850</v>
      </c>
      <c r="AO27" s="27">
        <v>86850</v>
      </c>
      <c r="AP27" s="31"/>
      <c r="AQ27" s="32"/>
      <c r="AT27" s="27">
        <v>63000</v>
      </c>
      <c r="AU27" s="47">
        <v>55100</v>
      </c>
      <c r="AV27" s="46">
        <v>3470</v>
      </c>
      <c r="AW27" s="46">
        <v>2910</v>
      </c>
      <c r="AX27" s="46"/>
      <c r="AY27" s="46"/>
      <c r="AZ27" s="47">
        <v>7900</v>
      </c>
      <c r="BA27" s="46">
        <v>-910</v>
      </c>
      <c r="BB27" s="46">
        <v>0</v>
      </c>
      <c r="BC27" s="46"/>
      <c r="BD27" s="46">
        <v>20</v>
      </c>
      <c r="BE27" s="3"/>
      <c r="BF27" s="48">
        <v>38</v>
      </c>
      <c r="BG27" s="48">
        <v>2</v>
      </c>
      <c r="BH27" s="48"/>
      <c r="BI27" s="27">
        <f t="shared" si="2"/>
        <v>1450</v>
      </c>
      <c r="BJ27" s="48">
        <f t="shared" si="0"/>
        <v>3950</v>
      </c>
    </row>
    <row r="28" spans="1:62" ht="12" customHeight="1" outlineLevel="1">
      <c r="A28" s="49">
        <v>43862</v>
      </c>
      <c r="B28" s="49" t="s">
        <v>66</v>
      </c>
      <c r="C28" s="50">
        <v>188600</v>
      </c>
      <c r="D28" s="23">
        <v>183720</v>
      </c>
      <c r="E28" s="46">
        <v>34600</v>
      </c>
      <c r="F28" s="46">
        <v>30820</v>
      </c>
      <c r="G28" s="46">
        <v>10400</v>
      </c>
      <c r="H28" s="46">
        <v>620</v>
      </c>
      <c r="I28" s="46">
        <v>4120</v>
      </c>
      <c r="J28" s="46">
        <v>9610</v>
      </c>
      <c r="K28" s="46">
        <v>490</v>
      </c>
      <c r="L28" s="46">
        <v>760</v>
      </c>
      <c r="M28" s="46">
        <v>220</v>
      </c>
      <c r="N28" s="46"/>
      <c r="O28" s="46">
        <v>1280</v>
      </c>
      <c r="P28" s="47">
        <v>14450</v>
      </c>
      <c r="Q28" s="46">
        <v>2770</v>
      </c>
      <c r="R28" s="46">
        <v>1180</v>
      </c>
      <c r="S28" s="46">
        <v>2500</v>
      </c>
      <c r="T28" s="46">
        <v>-5440</v>
      </c>
      <c r="U28" s="47">
        <v>7380</v>
      </c>
      <c r="V28" s="46">
        <v>0</v>
      </c>
      <c r="W28" s="46">
        <v>12170</v>
      </c>
      <c r="X28" s="46"/>
      <c r="Y28" s="46"/>
      <c r="Z28" s="33">
        <v>4880</v>
      </c>
      <c r="AB28" s="48">
        <v>185</v>
      </c>
      <c r="AC28" s="48">
        <v>8</v>
      </c>
      <c r="AD28" s="48"/>
      <c r="AE28" s="33">
        <v>3.9948000000000001</v>
      </c>
      <c r="AF28" s="27">
        <v>38</v>
      </c>
      <c r="AG28" s="27">
        <v>4</v>
      </c>
      <c r="AI28" s="51">
        <v>78.108108108108112</v>
      </c>
      <c r="AJ28" s="48">
        <v>922.5</v>
      </c>
      <c r="AK28" s="51"/>
      <c r="AL28" s="27">
        <v>1221.5880644838289</v>
      </c>
      <c r="AM28" s="27"/>
      <c r="AN28" s="27">
        <v>103620</v>
      </c>
      <c r="AO28" s="27">
        <v>84980</v>
      </c>
      <c r="AP28" s="31"/>
      <c r="AQ28" s="32"/>
      <c r="AT28" s="27">
        <v>52300</v>
      </c>
      <c r="AU28" s="47">
        <v>44400</v>
      </c>
      <c r="AV28" s="46">
        <v>3470</v>
      </c>
      <c r="AW28" s="46">
        <v>0</v>
      </c>
      <c r="AX28" s="46"/>
      <c r="AY28" s="46"/>
      <c r="AZ28" s="47">
        <v>7900</v>
      </c>
      <c r="BA28" s="46">
        <v>0</v>
      </c>
      <c r="BB28" s="46">
        <v>0</v>
      </c>
      <c r="BC28" s="46"/>
      <c r="BD28" s="46">
        <v>20</v>
      </c>
      <c r="BE28" s="3"/>
      <c r="BF28" s="48">
        <v>37</v>
      </c>
      <c r="BG28" s="48">
        <v>2</v>
      </c>
      <c r="BH28" s="48"/>
      <c r="BI28" s="27">
        <f t="shared" si="2"/>
        <v>1200</v>
      </c>
      <c r="BJ28" s="48">
        <f t="shared" si="0"/>
        <v>3950</v>
      </c>
    </row>
    <row r="29" spans="1:62" ht="12" customHeight="1" outlineLevel="1">
      <c r="A29" s="49">
        <v>43891</v>
      </c>
      <c r="B29" s="49" t="s">
        <v>67</v>
      </c>
      <c r="C29" s="50">
        <v>208020</v>
      </c>
      <c r="D29" s="23">
        <v>208020</v>
      </c>
      <c r="E29" s="46">
        <v>34960</v>
      </c>
      <c r="F29" s="46">
        <v>30870</v>
      </c>
      <c r="G29" s="46">
        <v>10400</v>
      </c>
      <c r="H29" s="46">
        <v>620</v>
      </c>
      <c r="I29" s="46">
        <v>4130</v>
      </c>
      <c r="J29" s="46">
        <v>9610</v>
      </c>
      <c r="K29" s="46">
        <v>490</v>
      </c>
      <c r="L29" s="46">
        <v>760</v>
      </c>
      <c r="M29" s="46">
        <v>220</v>
      </c>
      <c r="N29" s="46"/>
      <c r="O29" s="46">
        <v>1280</v>
      </c>
      <c r="P29" s="47">
        <v>22070</v>
      </c>
      <c r="Q29" s="46">
        <v>830</v>
      </c>
      <c r="R29" s="46">
        <v>1230</v>
      </c>
      <c r="S29" s="46">
        <v>2500</v>
      </c>
      <c r="T29" s="46">
        <v>0</v>
      </c>
      <c r="U29" s="47">
        <v>10750</v>
      </c>
      <c r="V29" s="46">
        <v>900</v>
      </c>
      <c r="W29" s="46">
        <v>12170</v>
      </c>
      <c r="X29" s="46"/>
      <c r="Y29" s="46"/>
      <c r="Z29" s="33">
        <v>0</v>
      </c>
      <c r="AB29" s="48">
        <v>217</v>
      </c>
      <c r="AC29" s="48">
        <v>11</v>
      </c>
      <c r="AD29" s="48"/>
      <c r="AE29" s="33"/>
      <c r="AF29" s="27"/>
      <c r="AG29" s="27"/>
      <c r="AI29" s="51">
        <v>101.70506912442396</v>
      </c>
      <c r="AJ29" s="48">
        <v>977.27272727272725</v>
      </c>
      <c r="AK29" s="51"/>
      <c r="AL29" s="48">
        <v>0</v>
      </c>
      <c r="AM29" s="27"/>
      <c r="AN29" s="27">
        <v>108180</v>
      </c>
      <c r="AO29" s="27">
        <v>99840</v>
      </c>
      <c r="AP29" s="31"/>
      <c r="AQ29" s="32"/>
      <c r="AT29" s="27">
        <v>61050</v>
      </c>
      <c r="AU29" s="47">
        <v>49200</v>
      </c>
      <c r="AV29" s="46">
        <v>3470</v>
      </c>
      <c r="AW29" s="46">
        <v>0</v>
      </c>
      <c r="AX29" s="46"/>
      <c r="AY29" s="46"/>
      <c r="AZ29" s="47">
        <v>11850</v>
      </c>
      <c r="BA29" s="46">
        <v>-310</v>
      </c>
      <c r="BB29" s="46">
        <v>0</v>
      </c>
      <c r="BC29" s="46"/>
      <c r="BD29" s="46">
        <v>20</v>
      </c>
      <c r="BE29" s="3"/>
      <c r="BF29" s="48">
        <v>41</v>
      </c>
      <c r="BG29" s="48">
        <v>3</v>
      </c>
      <c r="BH29" s="48"/>
      <c r="BI29" s="27">
        <f t="shared" si="2"/>
        <v>1200</v>
      </c>
      <c r="BJ29" s="48">
        <f t="shared" si="0"/>
        <v>3950</v>
      </c>
    </row>
    <row r="30" spans="1:62" ht="12" customHeight="1" outlineLevel="1">
      <c r="A30" s="49">
        <v>43922</v>
      </c>
      <c r="B30" s="49" t="s">
        <v>68</v>
      </c>
      <c r="C30" s="50">
        <v>207150</v>
      </c>
      <c r="D30" s="23">
        <v>200740</v>
      </c>
      <c r="E30" s="46">
        <v>34910</v>
      </c>
      <c r="F30" s="46">
        <v>30610</v>
      </c>
      <c r="G30" s="46">
        <v>10400</v>
      </c>
      <c r="H30" s="46">
        <v>660</v>
      </c>
      <c r="I30" s="46">
        <v>4140</v>
      </c>
      <c r="J30" s="46">
        <v>9610</v>
      </c>
      <c r="K30" s="46">
        <v>490</v>
      </c>
      <c r="L30" s="46">
        <v>760</v>
      </c>
      <c r="M30" s="46">
        <v>220</v>
      </c>
      <c r="N30" s="46"/>
      <c r="O30" s="46">
        <v>1280</v>
      </c>
      <c r="P30" s="47">
        <v>20740</v>
      </c>
      <c r="Q30" s="46">
        <v>1720</v>
      </c>
      <c r="R30" s="46">
        <v>1140</v>
      </c>
      <c r="S30" s="46">
        <v>2500</v>
      </c>
      <c r="T30" s="46">
        <v>-920</v>
      </c>
      <c r="U30" s="47">
        <v>9780</v>
      </c>
      <c r="V30" s="46"/>
      <c r="W30" s="46">
        <v>12170</v>
      </c>
      <c r="X30" s="46"/>
      <c r="Y30" s="46"/>
      <c r="Z30" s="33">
        <v>6410</v>
      </c>
      <c r="AB30" s="48">
        <v>209</v>
      </c>
      <c r="AC30" s="48">
        <v>11</v>
      </c>
      <c r="AD30" s="48"/>
      <c r="AE30" s="33">
        <v>5.9912999999999998</v>
      </c>
      <c r="AF30" s="27">
        <v>44</v>
      </c>
      <c r="AG30" s="27">
        <v>6</v>
      </c>
      <c r="AI30" s="51">
        <v>99.234449760765557</v>
      </c>
      <c r="AJ30" s="48">
        <v>889.09090909090912</v>
      </c>
      <c r="AK30" s="51"/>
      <c r="AL30" s="27">
        <v>1069.8846660991771</v>
      </c>
      <c r="AM30" s="27"/>
      <c r="AN30" s="27">
        <v>106900</v>
      </c>
      <c r="AO30" s="27">
        <v>100250</v>
      </c>
      <c r="AP30" s="31"/>
      <c r="AQ30" s="32"/>
      <c r="AT30" s="27">
        <v>57350</v>
      </c>
      <c r="AU30" s="47">
        <v>45500</v>
      </c>
      <c r="AV30" s="46">
        <v>3470</v>
      </c>
      <c r="AW30" s="46">
        <v>0</v>
      </c>
      <c r="AX30" s="46"/>
      <c r="AY30" s="46"/>
      <c r="AZ30" s="47">
        <v>11850</v>
      </c>
      <c r="BA30" s="46">
        <v>-310</v>
      </c>
      <c r="BB30" s="46">
        <v>0</v>
      </c>
      <c r="BC30" s="46"/>
      <c r="BD30" s="46">
        <v>20</v>
      </c>
      <c r="BE30" s="3"/>
      <c r="BF30" s="48">
        <v>35</v>
      </c>
      <c r="BG30" s="48">
        <v>3</v>
      </c>
      <c r="BH30" s="48"/>
      <c r="BI30" s="27">
        <f t="shared" si="2"/>
        <v>1300</v>
      </c>
      <c r="BJ30" s="48">
        <f t="shared" si="0"/>
        <v>3950</v>
      </c>
    </row>
    <row r="31" spans="1:62" ht="12" customHeight="1" outlineLevel="1">
      <c r="A31" s="49">
        <v>43952</v>
      </c>
      <c r="B31" s="49" t="s">
        <v>69</v>
      </c>
      <c r="C31" s="50">
        <v>188980</v>
      </c>
      <c r="D31" s="23">
        <v>188980</v>
      </c>
      <c r="E31" s="46">
        <v>34760</v>
      </c>
      <c r="F31" s="46">
        <v>30590</v>
      </c>
      <c r="G31" s="46">
        <v>10400</v>
      </c>
      <c r="H31" s="46">
        <v>660</v>
      </c>
      <c r="I31" s="46">
        <v>4140</v>
      </c>
      <c r="J31" s="46">
        <v>9610</v>
      </c>
      <c r="K31" s="46">
        <v>490</v>
      </c>
      <c r="L31" s="46">
        <v>760</v>
      </c>
      <c r="M31" s="46">
        <v>220</v>
      </c>
      <c r="N31" s="46"/>
      <c r="O31" s="46">
        <v>1280</v>
      </c>
      <c r="P31" s="47">
        <v>19400</v>
      </c>
      <c r="Q31" s="46">
        <v>1960</v>
      </c>
      <c r="R31" s="46">
        <v>1130</v>
      </c>
      <c r="S31" s="46">
        <v>2500</v>
      </c>
      <c r="T31" s="46">
        <v>-5890</v>
      </c>
      <c r="U31" s="47">
        <v>9600</v>
      </c>
      <c r="V31" s="46">
        <v>1020</v>
      </c>
      <c r="W31" s="46">
        <v>12170</v>
      </c>
      <c r="X31" s="46"/>
      <c r="Y31" s="46"/>
      <c r="Z31" s="33">
        <v>0</v>
      </c>
      <c r="AB31" s="48">
        <v>201</v>
      </c>
      <c r="AC31" s="48">
        <v>10</v>
      </c>
      <c r="AD31" s="48"/>
      <c r="AE31" s="33"/>
      <c r="AF31" s="27"/>
      <c r="AG31" s="27"/>
      <c r="AI31" s="51">
        <v>96.517412935323378</v>
      </c>
      <c r="AJ31" s="48">
        <v>960</v>
      </c>
      <c r="AK31" s="51"/>
      <c r="AL31" s="27">
        <v>0</v>
      </c>
      <c r="AM31" s="27"/>
      <c r="AN31" s="27">
        <v>103010</v>
      </c>
      <c r="AO31" s="27">
        <v>85970</v>
      </c>
      <c r="AP31" s="31"/>
      <c r="AQ31" s="32"/>
      <c r="AT31" s="27">
        <v>51000</v>
      </c>
      <c r="AU31" s="47">
        <v>39150</v>
      </c>
      <c r="AV31" s="46">
        <v>3470</v>
      </c>
      <c r="AW31" s="46">
        <v>0</v>
      </c>
      <c r="AX31" s="46"/>
      <c r="AY31" s="46"/>
      <c r="AZ31" s="47">
        <v>11850</v>
      </c>
      <c r="BA31" s="46">
        <v>-310</v>
      </c>
      <c r="BB31" s="46">
        <v>0</v>
      </c>
      <c r="BC31" s="46"/>
      <c r="BD31" s="46">
        <v>20</v>
      </c>
      <c r="BE31" s="3"/>
      <c r="BF31" s="48">
        <v>29</v>
      </c>
      <c r="BG31" s="48">
        <v>3</v>
      </c>
      <c r="BH31" s="48"/>
      <c r="BI31" s="27">
        <f t="shared" si="2"/>
        <v>1350</v>
      </c>
      <c r="BJ31" s="48">
        <f t="shared" si="0"/>
        <v>3950</v>
      </c>
    </row>
    <row r="32" spans="1:62" ht="12" customHeight="1" outlineLevel="1">
      <c r="A32" s="49">
        <v>43983</v>
      </c>
      <c r="B32" s="49" t="s">
        <v>70</v>
      </c>
      <c r="C32" s="50">
        <v>170290</v>
      </c>
      <c r="D32" s="23">
        <v>163140</v>
      </c>
      <c r="E32" s="46">
        <v>34720</v>
      </c>
      <c r="F32" s="46">
        <v>30730</v>
      </c>
      <c r="G32" s="46">
        <v>10400</v>
      </c>
      <c r="H32" s="46">
        <v>660</v>
      </c>
      <c r="I32" s="46">
        <v>4140</v>
      </c>
      <c r="J32" s="46">
        <v>9610</v>
      </c>
      <c r="K32" s="46">
        <v>490</v>
      </c>
      <c r="L32" s="46">
        <v>760</v>
      </c>
      <c r="M32" s="46">
        <v>220</v>
      </c>
      <c r="N32" s="46"/>
      <c r="O32" s="46">
        <v>1280</v>
      </c>
      <c r="P32" s="47">
        <v>12840</v>
      </c>
      <c r="Q32" s="46">
        <v>1410</v>
      </c>
      <c r="R32" s="46">
        <v>1090</v>
      </c>
      <c r="S32" s="46">
        <v>2500</v>
      </c>
      <c r="T32" s="46">
        <v>-1870</v>
      </c>
      <c r="U32" s="47">
        <v>12660</v>
      </c>
      <c r="V32" s="46">
        <v>0</v>
      </c>
      <c r="W32" s="46">
        <v>12170</v>
      </c>
      <c r="X32" s="46"/>
      <c r="Y32" s="46"/>
      <c r="Z32" s="33">
        <v>7150</v>
      </c>
      <c r="AB32" s="48">
        <v>167</v>
      </c>
      <c r="AC32" s="48">
        <v>13</v>
      </c>
      <c r="AD32" s="48"/>
      <c r="AE32" s="33">
        <v>6.9894999999999996</v>
      </c>
      <c r="AF32" s="27">
        <v>51</v>
      </c>
      <c r="AG32" s="27">
        <v>7</v>
      </c>
      <c r="AI32" s="51">
        <v>76.886227544910184</v>
      </c>
      <c r="AJ32" s="48">
        <v>973.84615384615381</v>
      </c>
      <c r="AK32" s="51"/>
      <c r="AL32" s="27">
        <v>1022.9630159525002</v>
      </c>
      <c r="AM32" s="27"/>
      <c r="AN32" s="27">
        <v>105520</v>
      </c>
      <c r="AO32" s="27">
        <v>64770</v>
      </c>
      <c r="AP32" s="31"/>
      <c r="AQ32" s="32"/>
      <c r="AT32" s="27">
        <v>26150</v>
      </c>
      <c r="AU32" s="47">
        <v>14300</v>
      </c>
      <c r="AV32" s="46">
        <v>3470</v>
      </c>
      <c r="AW32" s="46">
        <v>0</v>
      </c>
      <c r="AX32" s="46"/>
      <c r="AY32" s="46"/>
      <c r="AZ32" s="47">
        <v>11850</v>
      </c>
      <c r="BA32" s="46">
        <v>-310</v>
      </c>
      <c r="BB32" s="46">
        <v>0</v>
      </c>
      <c r="BC32" s="46"/>
      <c r="BD32" s="46">
        <v>20</v>
      </c>
      <c r="BE32" s="3"/>
      <c r="BF32" s="48">
        <v>11</v>
      </c>
      <c r="BG32" s="48">
        <v>3</v>
      </c>
      <c r="BH32" s="48"/>
      <c r="BI32" s="27">
        <f t="shared" si="2"/>
        <v>1300</v>
      </c>
      <c r="BJ32" s="48">
        <f t="shared" si="0"/>
        <v>3950</v>
      </c>
    </row>
    <row r="33" spans="1:62" ht="12" customHeight="1" outlineLevel="1">
      <c r="A33" s="49">
        <v>44013</v>
      </c>
      <c r="B33" s="49" t="s">
        <v>71</v>
      </c>
      <c r="C33" s="50">
        <v>150100</v>
      </c>
      <c r="D33" s="23">
        <v>150100</v>
      </c>
      <c r="E33" s="46">
        <v>34770</v>
      </c>
      <c r="F33" s="46">
        <v>30730</v>
      </c>
      <c r="G33" s="46">
        <v>10400</v>
      </c>
      <c r="H33" s="46">
        <v>660</v>
      </c>
      <c r="I33" s="46">
        <v>4130</v>
      </c>
      <c r="J33" s="46">
        <v>9610</v>
      </c>
      <c r="K33" s="46">
        <v>490</v>
      </c>
      <c r="L33" s="46">
        <v>760</v>
      </c>
      <c r="M33" s="46">
        <v>220</v>
      </c>
      <c r="N33" s="46"/>
      <c r="O33" s="46">
        <v>1280</v>
      </c>
      <c r="P33" s="47">
        <v>22070</v>
      </c>
      <c r="Q33" s="46">
        <v>380</v>
      </c>
      <c r="R33" s="46">
        <v>1250</v>
      </c>
      <c r="S33" s="46">
        <v>2500</v>
      </c>
      <c r="T33" s="46">
        <v>-3190</v>
      </c>
      <c r="U33" s="47">
        <v>10790</v>
      </c>
      <c r="V33" s="46">
        <v>0</v>
      </c>
      <c r="W33" s="46">
        <v>12170</v>
      </c>
      <c r="X33" s="46"/>
      <c r="Y33" s="46"/>
      <c r="Z33" s="33">
        <v>0</v>
      </c>
      <c r="AB33" s="48">
        <v>217</v>
      </c>
      <c r="AC33" s="48">
        <v>12</v>
      </c>
      <c r="AD33" s="48"/>
      <c r="AE33" s="33"/>
      <c r="AF33" s="27"/>
      <c r="AG33" s="27"/>
      <c r="AI33" s="51">
        <v>101.70506912442396</v>
      </c>
      <c r="AJ33" s="48">
        <v>899.16666666666663</v>
      </c>
      <c r="AK33" s="51"/>
      <c r="AL33" s="27">
        <v>0</v>
      </c>
      <c r="AM33" s="27"/>
      <c r="AN33" s="27">
        <v>103370</v>
      </c>
      <c r="AO33" s="27">
        <v>46730</v>
      </c>
      <c r="AP33" s="31"/>
      <c r="AQ33" s="32"/>
      <c r="AT33" s="27">
        <v>7900</v>
      </c>
      <c r="AU33" s="47">
        <v>0</v>
      </c>
      <c r="AV33" s="46">
        <v>3470</v>
      </c>
      <c r="AW33" s="46">
        <v>0</v>
      </c>
      <c r="AX33" s="46"/>
      <c r="AY33" s="46"/>
      <c r="AZ33" s="47">
        <v>7900</v>
      </c>
      <c r="BA33" s="46">
        <v>-310</v>
      </c>
      <c r="BB33" s="46">
        <v>0</v>
      </c>
      <c r="BC33" s="46"/>
      <c r="BD33" s="46">
        <v>20</v>
      </c>
      <c r="BE33" s="3"/>
      <c r="BF33" s="48">
        <v>0</v>
      </c>
      <c r="BG33" s="48">
        <v>2</v>
      </c>
      <c r="BH33" s="48"/>
      <c r="BI33" s="27">
        <v>0</v>
      </c>
      <c r="BJ33" s="48">
        <f t="shared" si="0"/>
        <v>3950</v>
      </c>
    </row>
    <row r="34" spans="1:62" ht="12" customHeight="1" outlineLevel="1">
      <c r="A34" s="49">
        <v>44044</v>
      </c>
      <c r="B34" s="49" t="s">
        <v>72</v>
      </c>
      <c r="C34" s="50">
        <v>150910</v>
      </c>
      <c r="D34" s="23">
        <v>143500</v>
      </c>
      <c r="E34" s="46">
        <v>34670</v>
      </c>
      <c r="F34" s="46">
        <v>30820</v>
      </c>
      <c r="G34" s="46">
        <v>10400</v>
      </c>
      <c r="H34" s="46">
        <v>660</v>
      </c>
      <c r="I34" s="46">
        <v>4130</v>
      </c>
      <c r="J34" s="46">
        <v>9610</v>
      </c>
      <c r="K34" s="46">
        <v>490</v>
      </c>
      <c r="L34" s="46">
        <v>760</v>
      </c>
      <c r="M34" s="46">
        <v>220</v>
      </c>
      <c r="N34" s="46"/>
      <c r="O34" s="46">
        <v>1280</v>
      </c>
      <c r="P34" s="47">
        <v>12940</v>
      </c>
      <c r="Q34" s="46">
        <v>1460</v>
      </c>
      <c r="R34" s="46">
        <v>1130</v>
      </c>
      <c r="S34" s="46">
        <v>2500</v>
      </c>
      <c r="T34" s="46">
        <v>-1750</v>
      </c>
      <c r="U34" s="47">
        <v>10930</v>
      </c>
      <c r="V34" s="46">
        <v>0</v>
      </c>
      <c r="W34" s="46">
        <v>12170</v>
      </c>
      <c r="X34" s="46"/>
      <c r="Y34" s="46"/>
      <c r="Z34" s="33">
        <v>7410</v>
      </c>
      <c r="AB34" s="48">
        <v>168</v>
      </c>
      <c r="AC34" s="48">
        <v>12</v>
      </c>
      <c r="AD34" s="48"/>
      <c r="AE34" s="33">
        <v>7.9880000000000004</v>
      </c>
      <c r="AF34" s="27">
        <v>59</v>
      </c>
      <c r="AG34" s="27">
        <v>8</v>
      </c>
      <c r="AI34" s="51">
        <v>77.023809523809518</v>
      </c>
      <c r="AJ34" s="48">
        <v>910.83333333333337</v>
      </c>
      <c r="AK34" s="51"/>
      <c r="AL34" s="27">
        <v>927.64146219328984</v>
      </c>
      <c r="AM34" s="27"/>
      <c r="AN34" s="27">
        <v>105760</v>
      </c>
      <c r="AO34" s="27">
        <v>45150</v>
      </c>
      <c r="AP34" s="31"/>
      <c r="AQ34" s="32"/>
      <c r="AT34" s="27">
        <v>7900</v>
      </c>
      <c r="AU34" s="47">
        <v>0</v>
      </c>
      <c r="AV34" s="46">
        <v>3470</v>
      </c>
      <c r="AW34" s="46">
        <v>0</v>
      </c>
      <c r="AX34" s="46"/>
      <c r="AY34" s="46"/>
      <c r="AZ34" s="47">
        <v>7900</v>
      </c>
      <c r="BA34" s="46">
        <v>-310</v>
      </c>
      <c r="BB34" s="46">
        <v>0</v>
      </c>
      <c r="BC34" s="46"/>
      <c r="BD34" s="46">
        <v>20</v>
      </c>
      <c r="BE34" s="3"/>
      <c r="BF34" s="48">
        <v>0</v>
      </c>
      <c r="BG34" s="48">
        <v>2</v>
      </c>
      <c r="BH34" s="48"/>
      <c r="BI34" s="27">
        <v>0</v>
      </c>
      <c r="BJ34" s="48">
        <f t="shared" si="0"/>
        <v>3950</v>
      </c>
    </row>
    <row r="35" spans="1:62" ht="12" customHeight="1" outlineLevel="1">
      <c r="A35" s="49">
        <v>44075</v>
      </c>
      <c r="B35" s="49" t="s">
        <v>73</v>
      </c>
      <c r="C35" s="50">
        <v>148570</v>
      </c>
      <c r="D35" s="23">
        <v>148570</v>
      </c>
      <c r="E35" s="46">
        <v>35100</v>
      </c>
      <c r="F35" s="46">
        <v>30850</v>
      </c>
      <c r="G35" s="46">
        <v>10400</v>
      </c>
      <c r="H35" s="46">
        <v>660</v>
      </c>
      <c r="I35" s="46">
        <v>4130</v>
      </c>
      <c r="J35" s="46">
        <v>9610</v>
      </c>
      <c r="K35" s="46">
        <v>490</v>
      </c>
      <c r="L35" s="46">
        <v>760</v>
      </c>
      <c r="M35" s="46">
        <v>220</v>
      </c>
      <c r="N35" s="46"/>
      <c r="O35" s="46">
        <v>1280</v>
      </c>
      <c r="P35" s="47">
        <v>24060</v>
      </c>
      <c r="Q35" s="46">
        <v>270</v>
      </c>
      <c r="R35" s="46">
        <v>1310</v>
      </c>
      <c r="S35" s="46">
        <v>2500</v>
      </c>
      <c r="T35" s="46">
        <v>-1730</v>
      </c>
      <c r="U35" s="47">
        <v>9360</v>
      </c>
      <c r="V35" s="46">
        <v>0</v>
      </c>
      <c r="W35" s="46">
        <v>12170</v>
      </c>
      <c r="X35" s="46"/>
      <c r="Y35" s="46"/>
      <c r="Z35" s="33">
        <v>0</v>
      </c>
      <c r="AB35" s="48">
        <v>261</v>
      </c>
      <c r="AC35" s="48">
        <v>10</v>
      </c>
      <c r="AD35" s="48"/>
      <c r="AE35" s="33"/>
      <c r="AF35" s="27"/>
      <c r="AG35" s="27"/>
      <c r="AI35" s="51">
        <v>92.183908045977006</v>
      </c>
      <c r="AJ35" s="48">
        <v>936</v>
      </c>
      <c r="AK35" s="51"/>
      <c r="AL35" s="27">
        <v>0</v>
      </c>
      <c r="AM35" s="27"/>
      <c r="AN35" s="27">
        <v>105230</v>
      </c>
      <c r="AO35" s="27">
        <v>43340</v>
      </c>
      <c r="AP35" s="31"/>
      <c r="AQ35" s="32"/>
      <c r="AT35" s="27">
        <v>3950</v>
      </c>
      <c r="AU35" s="47">
        <v>0</v>
      </c>
      <c r="AV35" s="46">
        <v>3470</v>
      </c>
      <c r="AW35" s="46">
        <v>0</v>
      </c>
      <c r="AX35" s="46"/>
      <c r="AY35" s="46"/>
      <c r="AZ35" s="47">
        <v>3950</v>
      </c>
      <c r="BA35" s="46">
        <v>-310</v>
      </c>
      <c r="BB35" s="46">
        <v>0</v>
      </c>
      <c r="BC35" s="46"/>
      <c r="BD35" s="46">
        <v>20</v>
      </c>
      <c r="BE35" s="3"/>
      <c r="BF35" s="48">
        <v>0</v>
      </c>
      <c r="BG35" s="48">
        <v>1</v>
      </c>
      <c r="BH35" s="48"/>
      <c r="BI35" s="27">
        <v>0</v>
      </c>
      <c r="BJ35" s="48">
        <f t="shared" si="0"/>
        <v>3950</v>
      </c>
    </row>
    <row r="36" spans="1:62" ht="12" customHeight="1" outlineLevel="1">
      <c r="A36" s="49">
        <v>44105</v>
      </c>
      <c r="B36" s="49" t="s">
        <v>74</v>
      </c>
      <c r="C36" s="50">
        <v>155740</v>
      </c>
      <c r="D36" s="23">
        <v>148470</v>
      </c>
      <c r="E36" s="46">
        <v>35420</v>
      </c>
      <c r="F36" s="46">
        <v>30860</v>
      </c>
      <c r="G36" s="46">
        <v>10400</v>
      </c>
      <c r="H36" s="46">
        <v>660</v>
      </c>
      <c r="I36" s="46">
        <v>4130</v>
      </c>
      <c r="J36" s="46">
        <v>9610</v>
      </c>
      <c r="K36" s="46">
        <v>490</v>
      </c>
      <c r="L36" s="46">
        <v>730</v>
      </c>
      <c r="M36" s="46">
        <v>220</v>
      </c>
      <c r="N36" s="46"/>
      <c r="O36" s="46">
        <v>1280</v>
      </c>
      <c r="P36" s="47">
        <v>22220</v>
      </c>
      <c r="Q36" s="46">
        <v>1580</v>
      </c>
      <c r="R36" s="46">
        <v>1310</v>
      </c>
      <c r="S36" s="46"/>
      <c r="T36" s="46">
        <v>-1480</v>
      </c>
      <c r="U36" s="47">
        <v>11740</v>
      </c>
      <c r="V36" s="46">
        <v>0</v>
      </c>
      <c r="W36" s="46">
        <v>12170</v>
      </c>
      <c r="X36" s="46"/>
      <c r="Y36" s="46"/>
      <c r="Z36" s="33">
        <v>7270</v>
      </c>
      <c r="AB36" s="48">
        <v>221</v>
      </c>
      <c r="AC36" s="48">
        <v>12</v>
      </c>
      <c r="AD36" s="48"/>
      <c r="AE36" s="33">
        <v>7.9880000000000004</v>
      </c>
      <c r="AF36" s="48">
        <v>67</v>
      </c>
      <c r="AG36" s="27">
        <v>8</v>
      </c>
      <c r="AI36" s="51">
        <v>100.54298642533936</v>
      </c>
      <c r="AJ36" s="48">
        <v>978.33333333333337</v>
      </c>
      <c r="AK36" s="51"/>
      <c r="AL36" s="27">
        <v>910.11517275913866</v>
      </c>
      <c r="AM36" s="27"/>
      <c r="AN36" s="27">
        <v>107090</v>
      </c>
      <c r="AO36" s="27">
        <v>48650</v>
      </c>
      <c r="AP36" s="31"/>
      <c r="AQ36" s="32"/>
      <c r="AT36" s="27">
        <v>3950</v>
      </c>
      <c r="AU36" s="47">
        <v>0</v>
      </c>
      <c r="AV36" s="46">
        <v>3470</v>
      </c>
      <c r="AW36" s="46">
        <v>0</v>
      </c>
      <c r="AX36" s="46"/>
      <c r="AY36" s="46"/>
      <c r="AZ36" s="47">
        <v>3950</v>
      </c>
      <c r="BA36" s="46">
        <v>-310</v>
      </c>
      <c r="BB36" s="46">
        <v>0</v>
      </c>
      <c r="BC36" s="46"/>
      <c r="BD36" s="46">
        <v>20</v>
      </c>
      <c r="BE36" s="3"/>
      <c r="BF36" s="48">
        <v>0</v>
      </c>
      <c r="BG36" s="48">
        <v>1</v>
      </c>
      <c r="BH36" s="48"/>
      <c r="BI36" s="27">
        <v>0</v>
      </c>
      <c r="BJ36" s="48">
        <f t="shared" si="0"/>
        <v>3950</v>
      </c>
    </row>
    <row r="37" spans="1:62" ht="12" customHeight="1" outlineLevel="1">
      <c r="A37" s="49">
        <v>44136</v>
      </c>
      <c r="B37" s="49" t="s">
        <v>63</v>
      </c>
      <c r="C37" s="50">
        <v>136780</v>
      </c>
      <c r="D37" s="23">
        <v>136780</v>
      </c>
      <c r="E37" s="46">
        <v>35520</v>
      </c>
      <c r="F37" s="46">
        <v>30920</v>
      </c>
      <c r="G37" s="46">
        <v>10400</v>
      </c>
      <c r="H37" s="46">
        <v>660</v>
      </c>
      <c r="I37" s="46">
        <v>4130</v>
      </c>
      <c r="J37" s="46">
        <v>9610</v>
      </c>
      <c r="K37" s="46">
        <v>490</v>
      </c>
      <c r="L37" s="46">
        <v>730</v>
      </c>
      <c r="M37" s="46">
        <v>220</v>
      </c>
      <c r="N37" s="46"/>
      <c r="O37" s="46">
        <v>1280</v>
      </c>
      <c r="P37" s="47">
        <v>11240</v>
      </c>
      <c r="Q37" s="46">
        <v>1560</v>
      </c>
      <c r="R37" s="46">
        <v>1080</v>
      </c>
      <c r="S37" s="46"/>
      <c r="T37" s="46">
        <v>-1750</v>
      </c>
      <c r="U37" s="47">
        <v>8090</v>
      </c>
      <c r="V37" s="46">
        <v>0</v>
      </c>
      <c r="W37" s="46">
        <v>12170</v>
      </c>
      <c r="X37" s="46"/>
      <c r="Y37" s="46"/>
      <c r="Z37" s="33">
        <v>0</v>
      </c>
      <c r="AB37" s="48">
        <v>149</v>
      </c>
      <c r="AC37" s="48">
        <v>9</v>
      </c>
      <c r="AD37" s="48"/>
      <c r="AE37" s="33"/>
      <c r="AF37" s="48"/>
      <c r="AG37" s="48"/>
      <c r="AI37" s="51">
        <v>75.43624161073825</v>
      </c>
      <c r="AJ37" s="48">
        <v>898.88888888888891</v>
      </c>
      <c r="AK37" s="51"/>
      <c r="AL37" s="27">
        <v>0</v>
      </c>
      <c r="AM37" s="27"/>
      <c r="AN37" s="27">
        <v>106730</v>
      </c>
      <c r="AO37" s="27">
        <v>30050</v>
      </c>
      <c r="AP37" s="31"/>
      <c r="AQ37" s="32"/>
      <c r="AT37" s="27">
        <v>7250</v>
      </c>
      <c r="AU37" s="47">
        <v>3300</v>
      </c>
      <c r="AV37" s="46">
        <v>3470</v>
      </c>
      <c r="AW37" s="46">
        <v>0</v>
      </c>
      <c r="AX37" s="46"/>
      <c r="AY37" s="46"/>
      <c r="AZ37" s="47">
        <v>3950</v>
      </c>
      <c r="BA37" s="46">
        <v>-310</v>
      </c>
      <c r="BB37" s="46">
        <v>0</v>
      </c>
      <c r="BC37" s="46"/>
      <c r="BD37" s="46">
        <v>20</v>
      </c>
      <c r="BE37" s="3"/>
      <c r="BF37" s="48">
        <v>3</v>
      </c>
      <c r="BG37" s="48">
        <v>1</v>
      </c>
      <c r="BH37" s="48"/>
      <c r="BI37" s="27">
        <f t="shared" ref="BI37:BI44" si="3">AU37/BF37</f>
        <v>1100</v>
      </c>
      <c r="BJ37" s="48">
        <f t="shared" si="0"/>
        <v>3950</v>
      </c>
    </row>
    <row r="38" spans="1:62" ht="12" customHeight="1" outlineLevel="1">
      <c r="A38" s="52">
        <v>44166</v>
      </c>
      <c r="B38" s="52" t="s">
        <v>64</v>
      </c>
      <c r="C38" s="53">
        <v>171520</v>
      </c>
      <c r="D38" s="36">
        <v>164930</v>
      </c>
      <c r="E38" s="54">
        <v>35710</v>
      </c>
      <c r="F38" s="54">
        <v>30900</v>
      </c>
      <c r="G38" s="54">
        <v>10400</v>
      </c>
      <c r="H38" s="54">
        <v>660</v>
      </c>
      <c r="I38" s="54">
        <v>4110</v>
      </c>
      <c r="J38" s="54">
        <v>9610</v>
      </c>
      <c r="K38" s="54">
        <v>490</v>
      </c>
      <c r="L38" s="54">
        <v>730</v>
      </c>
      <c r="M38" s="54">
        <v>220</v>
      </c>
      <c r="N38" s="54"/>
      <c r="O38" s="54">
        <v>1280</v>
      </c>
      <c r="P38" s="55">
        <v>14540</v>
      </c>
      <c r="Q38" s="54">
        <v>1610</v>
      </c>
      <c r="R38" s="54">
        <v>1230</v>
      </c>
      <c r="S38" s="54"/>
      <c r="T38" s="54">
        <v>-1750</v>
      </c>
      <c r="U38" s="55">
        <v>9940</v>
      </c>
      <c r="V38" s="54">
        <v>0</v>
      </c>
      <c r="W38" s="54">
        <v>12170</v>
      </c>
      <c r="X38" s="54"/>
      <c r="Y38" s="54"/>
      <c r="Z38" s="39">
        <v>6590</v>
      </c>
      <c r="AA38" s="40"/>
      <c r="AB38" s="56">
        <v>186</v>
      </c>
      <c r="AC38" s="56">
        <v>11</v>
      </c>
      <c r="AD38" s="56"/>
      <c r="AE38" s="39">
        <v>6.9894999999999996</v>
      </c>
      <c r="AF38" s="56">
        <v>74</v>
      </c>
      <c r="AG38" s="56">
        <v>7</v>
      </c>
      <c r="AH38" s="40"/>
      <c r="AI38" s="57">
        <v>78.172043010752688</v>
      </c>
      <c r="AJ38" s="56">
        <v>903.63636363636363</v>
      </c>
      <c r="AK38" s="57"/>
      <c r="AL38" s="41">
        <v>942.84283568209457</v>
      </c>
      <c r="AM38" s="41"/>
      <c r="AN38" s="41">
        <v>107080</v>
      </c>
      <c r="AO38" s="41">
        <v>64440</v>
      </c>
      <c r="AP38" s="43"/>
      <c r="AQ38" s="44"/>
      <c r="AR38" s="40"/>
      <c r="AS38" s="40"/>
      <c r="AT38" s="41">
        <v>29900</v>
      </c>
      <c r="AU38" s="55">
        <v>22000</v>
      </c>
      <c r="AV38" s="54">
        <v>3470</v>
      </c>
      <c r="AW38" s="54">
        <v>0</v>
      </c>
      <c r="AX38" s="54"/>
      <c r="AY38" s="54"/>
      <c r="AZ38" s="55">
        <v>7900</v>
      </c>
      <c r="BA38" s="54">
        <v>-310</v>
      </c>
      <c r="BB38" s="54">
        <v>0</v>
      </c>
      <c r="BC38" s="54"/>
      <c r="BD38" s="54">
        <v>20</v>
      </c>
      <c r="BE38" s="45"/>
      <c r="BF38" s="56">
        <v>20</v>
      </c>
      <c r="BG38" s="56">
        <v>2</v>
      </c>
      <c r="BH38" s="56"/>
      <c r="BI38" s="41">
        <f t="shared" si="3"/>
        <v>1100</v>
      </c>
      <c r="BJ38" s="56">
        <f t="shared" si="0"/>
        <v>3950</v>
      </c>
    </row>
    <row r="39" spans="1:62" s="59" customFormat="1" ht="12" customHeight="1" outlineLevel="1" collapsed="1">
      <c r="A39" s="49">
        <v>44197</v>
      </c>
      <c r="B39" s="49" t="s">
        <v>65</v>
      </c>
      <c r="C39" s="50">
        <v>198980</v>
      </c>
      <c r="D39" s="23">
        <v>198980</v>
      </c>
      <c r="E39" s="46">
        <v>36530</v>
      </c>
      <c r="F39" s="46">
        <v>30900</v>
      </c>
      <c r="G39" s="46">
        <v>10400</v>
      </c>
      <c r="H39" s="46">
        <v>660</v>
      </c>
      <c r="I39" s="46">
        <v>4110</v>
      </c>
      <c r="J39" s="46">
        <v>9610</v>
      </c>
      <c r="K39" s="46">
        <v>490</v>
      </c>
      <c r="L39" s="46">
        <v>730</v>
      </c>
      <c r="M39" s="46">
        <v>220</v>
      </c>
      <c r="N39" s="46"/>
      <c r="O39" s="46">
        <v>1280</v>
      </c>
      <c r="P39" s="47">
        <v>19560</v>
      </c>
      <c r="Q39" s="46">
        <v>2870</v>
      </c>
      <c r="R39" s="46">
        <v>1190</v>
      </c>
      <c r="S39" s="46"/>
      <c r="T39" s="46">
        <v>-1690</v>
      </c>
      <c r="U39" s="47">
        <v>9200</v>
      </c>
      <c r="V39" s="46">
        <v>0</v>
      </c>
      <c r="W39" s="46">
        <v>12170</v>
      </c>
      <c r="X39" s="46"/>
      <c r="Y39" s="46"/>
      <c r="Z39" s="33">
        <v>0</v>
      </c>
      <c r="AB39" s="48">
        <v>202</v>
      </c>
      <c r="AC39" s="48">
        <v>10</v>
      </c>
      <c r="AD39" s="48"/>
      <c r="AE39" s="33"/>
      <c r="AF39" s="48"/>
      <c r="AG39" s="48"/>
      <c r="AI39" s="51">
        <v>96.831683168316829</v>
      </c>
      <c r="AJ39" s="48">
        <v>920</v>
      </c>
      <c r="AK39" s="51"/>
      <c r="AL39" s="27">
        <v>0</v>
      </c>
      <c r="AM39" s="48"/>
      <c r="AN39" s="27">
        <v>109180</v>
      </c>
      <c r="AO39" s="27">
        <v>89800</v>
      </c>
      <c r="AP39" s="31"/>
      <c r="AQ39" s="60"/>
      <c r="AT39" s="27">
        <v>57570</v>
      </c>
      <c r="AU39" s="47">
        <v>45720</v>
      </c>
      <c r="AV39" s="46">
        <v>3470</v>
      </c>
      <c r="AW39" s="46">
        <v>0</v>
      </c>
      <c r="AX39" s="46"/>
      <c r="AY39" s="46"/>
      <c r="AZ39" s="47">
        <v>11850</v>
      </c>
      <c r="BA39" s="46">
        <v>-310</v>
      </c>
      <c r="BB39" s="46">
        <v>0</v>
      </c>
      <c r="BC39" s="46"/>
      <c r="BD39" s="46">
        <v>20</v>
      </c>
      <c r="BF39" s="48">
        <v>36</v>
      </c>
      <c r="BG39" s="48">
        <v>3</v>
      </c>
      <c r="BH39" s="48"/>
      <c r="BI39" s="27">
        <f t="shared" si="3"/>
        <v>1270</v>
      </c>
      <c r="BJ39" s="48">
        <f t="shared" si="0"/>
        <v>3950</v>
      </c>
    </row>
    <row r="40" spans="1:62" ht="12" customHeight="1" outlineLevel="1">
      <c r="A40" s="49">
        <v>44228</v>
      </c>
      <c r="B40" s="49" t="s">
        <v>66</v>
      </c>
      <c r="C40" s="50">
        <v>229500</v>
      </c>
      <c r="D40" s="23">
        <v>223580</v>
      </c>
      <c r="E40" s="46">
        <v>37630</v>
      </c>
      <c r="F40" s="46">
        <v>31350</v>
      </c>
      <c r="G40" s="46">
        <v>10830</v>
      </c>
      <c r="H40" s="46">
        <v>660</v>
      </c>
      <c r="I40" s="46">
        <v>4110</v>
      </c>
      <c r="J40" s="46">
        <v>9610</v>
      </c>
      <c r="K40" s="46">
        <v>490</v>
      </c>
      <c r="L40" s="46">
        <v>1760</v>
      </c>
      <c r="M40" s="46">
        <v>220</v>
      </c>
      <c r="N40" s="46"/>
      <c r="O40" s="46">
        <v>1280</v>
      </c>
      <c r="P40" s="47">
        <v>23030</v>
      </c>
      <c r="Q40" s="46">
        <v>3330</v>
      </c>
      <c r="R40" s="46">
        <v>1210</v>
      </c>
      <c r="S40" s="46"/>
      <c r="T40" s="46">
        <v>-890</v>
      </c>
      <c r="U40" s="47">
        <v>9900</v>
      </c>
      <c r="V40" s="46">
        <v>680</v>
      </c>
      <c r="W40" s="46">
        <v>20290</v>
      </c>
      <c r="X40" s="46"/>
      <c r="Y40" s="46"/>
      <c r="Z40" s="33">
        <v>5920</v>
      </c>
      <c r="AB40" s="48">
        <v>227</v>
      </c>
      <c r="AC40" s="48">
        <v>10</v>
      </c>
      <c r="AD40" s="48"/>
      <c r="AE40" s="33">
        <v>5.9909999999999997</v>
      </c>
      <c r="AF40" s="48">
        <v>80</v>
      </c>
      <c r="AG40" s="48">
        <v>6</v>
      </c>
      <c r="AI40" s="51">
        <v>101.45374449339207</v>
      </c>
      <c r="AJ40" s="48">
        <v>990</v>
      </c>
      <c r="AK40" s="51"/>
      <c r="AL40" s="27">
        <v>988.1488900016692</v>
      </c>
      <c r="AM40" s="27"/>
      <c r="AN40" s="27">
        <v>122580</v>
      </c>
      <c r="AO40" s="27">
        <v>106920</v>
      </c>
      <c r="AP40" s="31"/>
      <c r="AQ40" s="32"/>
      <c r="AT40" s="27">
        <v>64600</v>
      </c>
      <c r="AU40" s="47">
        <v>56700</v>
      </c>
      <c r="AV40" s="46">
        <v>3470</v>
      </c>
      <c r="AW40" s="46">
        <v>0</v>
      </c>
      <c r="AX40" s="46"/>
      <c r="AY40" s="46"/>
      <c r="AZ40" s="47">
        <v>7900</v>
      </c>
      <c r="BA40" s="46"/>
      <c r="BB40" s="46">
        <v>0</v>
      </c>
      <c r="BC40" s="46"/>
      <c r="BD40" s="46">
        <v>20</v>
      </c>
      <c r="BE40" s="3"/>
      <c r="BF40" s="48">
        <v>42</v>
      </c>
      <c r="BG40" s="48">
        <v>2</v>
      </c>
      <c r="BH40" s="48"/>
      <c r="BI40" s="27">
        <f t="shared" si="3"/>
        <v>1350</v>
      </c>
      <c r="BJ40" s="48">
        <f t="shared" si="0"/>
        <v>3950</v>
      </c>
    </row>
    <row r="41" spans="1:62" ht="12" customHeight="1" outlineLevel="1">
      <c r="A41" s="49">
        <v>44256</v>
      </c>
      <c r="B41" s="49" t="s">
        <v>67</v>
      </c>
      <c r="C41" s="50">
        <v>202280</v>
      </c>
      <c r="D41" s="23">
        <v>202280</v>
      </c>
      <c r="E41" s="46">
        <v>36650</v>
      </c>
      <c r="F41" s="46">
        <v>31360</v>
      </c>
      <c r="G41" s="46">
        <v>10830</v>
      </c>
      <c r="H41" s="46">
        <v>660</v>
      </c>
      <c r="I41" s="46">
        <v>4110</v>
      </c>
      <c r="J41" s="46">
        <v>9610</v>
      </c>
      <c r="K41" s="46">
        <v>490</v>
      </c>
      <c r="L41" s="46">
        <v>1760</v>
      </c>
      <c r="M41" s="46">
        <v>220</v>
      </c>
      <c r="N41" s="46"/>
      <c r="O41" s="46">
        <v>1280</v>
      </c>
      <c r="P41" s="47">
        <v>13880</v>
      </c>
      <c r="Q41" s="46">
        <v>2490</v>
      </c>
      <c r="R41" s="46">
        <v>1160</v>
      </c>
      <c r="S41" s="46"/>
      <c r="T41" s="46">
        <v>-890</v>
      </c>
      <c r="U41" s="47">
        <v>11270</v>
      </c>
      <c r="V41" s="46">
        <v>0</v>
      </c>
      <c r="W41" s="46">
        <v>20290</v>
      </c>
      <c r="X41" s="46"/>
      <c r="Y41" s="46"/>
      <c r="Z41" s="33">
        <v>0</v>
      </c>
      <c r="AB41" s="48">
        <v>185</v>
      </c>
      <c r="AC41" s="48">
        <v>12</v>
      </c>
      <c r="AD41" s="48"/>
      <c r="AE41" s="33"/>
      <c r="AF41" s="48"/>
      <c r="AG41" s="48"/>
      <c r="AI41" s="51">
        <v>75.027027027027032</v>
      </c>
      <c r="AJ41" s="48">
        <v>939.16666666666663</v>
      </c>
      <c r="AK41" s="51"/>
      <c r="AL41" s="27">
        <v>0</v>
      </c>
      <c r="AM41" s="27"/>
      <c r="AN41" s="27">
        <v>119460</v>
      </c>
      <c r="AO41" s="27">
        <v>82820</v>
      </c>
      <c r="AP41" s="31"/>
      <c r="AQ41" s="32"/>
      <c r="AT41" s="27">
        <v>54200</v>
      </c>
      <c r="AU41" s="47">
        <v>38400</v>
      </c>
      <c r="AV41" s="46">
        <v>3470</v>
      </c>
      <c r="AW41" s="46">
        <v>0</v>
      </c>
      <c r="AX41" s="46"/>
      <c r="AY41" s="46"/>
      <c r="AZ41" s="47">
        <v>15800</v>
      </c>
      <c r="BA41" s="46">
        <v>-580</v>
      </c>
      <c r="BB41" s="46">
        <v>0</v>
      </c>
      <c r="BC41" s="46"/>
      <c r="BD41" s="46">
        <v>20</v>
      </c>
      <c r="BE41" s="3"/>
      <c r="BF41" s="48">
        <v>32</v>
      </c>
      <c r="BG41" s="48">
        <v>4</v>
      </c>
      <c r="BH41" s="48"/>
      <c r="BI41" s="27">
        <f t="shared" si="3"/>
        <v>1200</v>
      </c>
      <c r="BJ41" s="48">
        <f t="shared" si="0"/>
        <v>3950</v>
      </c>
    </row>
    <row r="42" spans="1:62" ht="12" customHeight="1" outlineLevel="1">
      <c r="A42" s="49">
        <v>44287</v>
      </c>
      <c r="B42" s="49" t="s">
        <v>68</v>
      </c>
      <c r="C42" s="50">
        <v>172940</v>
      </c>
      <c r="D42" s="23">
        <v>166370</v>
      </c>
      <c r="E42" s="46">
        <v>36820</v>
      </c>
      <c r="F42" s="46">
        <v>31410</v>
      </c>
      <c r="G42" s="46">
        <v>10830</v>
      </c>
      <c r="H42" s="46">
        <v>660</v>
      </c>
      <c r="I42" s="46">
        <v>4110</v>
      </c>
      <c r="J42" s="46">
        <v>9610</v>
      </c>
      <c r="K42" s="46">
        <v>490</v>
      </c>
      <c r="L42" s="46">
        <v>1760</v>
      </c>
      <c r="M42" s="46">
        <v>220</v>
      </c>
      <c r="N42" s="46"/>
      <c r="O42" s="46">
        <v>1280</v>
      </c>
      <c r="P42" s="47">
        <v>11300</v>
      </c>
      <c r="Q42" s="46">
        <v>2150</v>
      </c>
      <c r="R42" s="46">
        <v>1070</v>
      </c>
      <c r="S42" s="46"/>
      <c r="T42" s="46">
        <v>-890</v>
      </c>
      <c r="U42" s="47">
        <v>8490</v>
      </c>
      <c r="V42" s="46">
        <v>0</v>
      </c>
      <c r="W42" s="46">
        <v>20290</v>
      </c>
      <c r="X42" s="46"/>
      <c r="Y42" s="46"/>
      <c r="Z42" s="33">
        <v>6570</v>
      </c>
      <c r="AB42" s="48">
        <v>155</v>
      </c>
      <c r="AC42" s="48">
        <v>9</v>
      </c>
      <c r="AD42" s="48"/>
      <c r="AE42" s="33">
        <v>6.9882999999999997</v>
      </c>
      <c r="AF42" s="48">
        <v>87</v>
      </c>
      <c r="AG42" s="48">
        <v>7</v>
      </c>
      <c r="AI42" s="51">
        <v>72.903225806451616</v>
      </c>
      <c r="AJ42" s="48">
        <v>943.33333333333337</v>
      </c>
      <c r="AK42" s="51"/>
      <c r="AL42" s="27">
        <v>940.14281012549554</v>
      </c>
      <c r="AM42" s="27"/>
      <c r="AN42" s="27">
        <v>119250</v>
      </c>
      <c r="AO42" s="27">
        <v>53690</v>
      </c>
      <c r="AP42" s="3"/>
      <c r="AQ42" s="32"/>
      <c r="AT42" s="27">
        <v>23860</v>
      </c>
      <c r="AU42" s="47">
        <v>15960</v>
      </c>
      <c r="AV42" s="46">
        <v>3470</v>
      </c>
      <c r="AW42" s="46">
        <v>0</v>
      </c>
      <c r="AX42" s="46"/>
      <c r="AY42" s="46"/>
      <c r="AZ42" s="47">
        <v>7900</v>
      </c>
      <c r="BA42" s="46">
        <v>-580</v>
      </c>
      <c r="BB42" s="46">
        <v>0</v>
      </c>
      <c r="BC42" s="46"/>
      <c r="BD42" s="46">
        <v>20</v>
      </c>
      <c r="BE42" s="3"/>
      <c r="BF42" s="48">
        <v>12</v>
      </c>
      <c r="BG42" s="48">
        <v>2</v>
      </c>
      <c r="BH42" s="48"/>
      <c r="BI42" s="27">
        <f t="shared" si="3"/>
        <v>1330</v>
      </c>
      <c r="BJ42" s="48">
        <f t="shared" si="0"/>
        <v>3950</v>
      </c>
    </row>
    <row r="43" spans="1:62" ht="12" customHeight="1" outlineLevel="1">
      <c r="A43" s="49">
        <v>44317</v>
      </c>
      <c r="B43" s="49" t="s">
        <v>69</v>
      </c>
      <c r="C43" s="50">
        <v>165010</v>
      </c>
      <c r="D43" s="23">
        <v>165010</v>
      </c>
      <c r="E43" s="46">
        <v>37120</v>
      </c>
      <c r="F43" s="46">
        <v>31360</v>
      </c>
      <c r="G43" s="46">
        <v>10830</v>
      </c>
      <c r="H43" s="46">
        <v>660</v>
      </c>
      <c r="I43" s="46">
        <v>4100</v>
      </c>
      <c r="J43" s="46">
        <v>9610</v>
      </c>
      <c r="K43" s="46">
        <v>490</v>
      </c>
      <c r="L43" s="46">
        <v>1760</v>
      </c>
      <c r="M43" s="46">
        <v>220</v>
      </c>
      <c r="N43" s="46"/>
      <c r="O43" s="46">
        <v>1280</v>
      </c>
      <c r="P43" s="47">
        <v>12420</v>
      </c>
      <c r="Q43" s="46">
        <v>2690</v>
      </c>
      <c r="R43" s="46">
        <v>1210</v>
      </c>
      <c r="S43" s="46"/>
      <c r="T43" s="46">
        <v>-890</v>
      </c>
      <c r="U43" s="47">
        <v>11100</v>
      </c>
      <c r="V43" s="46">
        <v>800</v>
      </c>
      <c r="W43" s="46">
        <v>20290</v>
      </c>
      <c r="X43" s="46"/>
      <c r="Y43" s="46"/>
      <c r="Z43" s="33">
        <v>0</v>
      </c>
      <c r="AB43" s="48">
        <v>168</v>
      </c>
      <c r="AC43" s="48">
        <v>11</v>
      </c>
      <c r="AD43" s="48"/>
      <c r="AE43" s="33"/>
      <c r="AF43" s="27"/>
      <c r="AG43" s="48"/>
      <c r="AI43" s="51">
        <v>73.928571428571431</v>
      </c>
      <c r="AJ43" s="48">
        <v>1009.0909090909091</v>
      </c>
      <c r="AK43" s="51"/>
      <c r="AL43" s="27">
        <v>0</v>
      </c>
      <c r="AM43" s="27"/>
      <c r="AN43" s="27">
        <v>120970</v>
      </c>
      <c r="AO43" s="27">
        <v>44040</v>
      </c>
      <c r="AP43" s="3"/>
      <c r="AQ43" s="32"/>
      <c r="AT43" s="27">
        <v>17050</v>
      </c>
      <c r="AU43" s="47">
        <v>5200</v>
      </c>
      <c r="AV43" s="46">
        <v>3470</v>
      </c>
      <c r="AW43" s="46">
        <v>0</v>
      </c>
      <c r="AX43" s="46"/>
      <c r="AY43" s="46"/>
      <c r="AZ43" s="47">
        <v>11850</v>
      </c>
      <c r="BA43" s="46">
        <v>-580</v>
      </c>
      <c r="BB43" s="46">
        <v>0</v>
      </c>
      <c r="BC43" s="46"/>
      <c r="BD43" s="46">
        <v>20</v>
      </c>
      <c r="BE43" s="3"/>
      <c r="BF43" s="48">
        <v>4</v>
      </c>
      <c r="BG43" s="48">
        <v>3</v>
      </c>
      <c r="BH43" s="48"/>
      <c r="BI43" s="27">
        <f t="shared" si="3"/>
        <v>1300</v>
      </c>
      <c r="BJ43" s="48">
        <f t="shared" si="0"/>
        <v>3950</v>
      </c>
    </row>
    <row r="44" spans="1:62" ht="12" customHeight="1" outlineLevel="1">
      <c r="A44" s="49">
        <v>44348</v>
      </c>
      <c r="B44" s="49" t="s">
        <v>70</v>
      </c>
      <c r="C44" s="50">
        <v>165680</v>
      </c>
      <c r="D44" s="23">
        <v>158430</v>
      </c>
      <c r="E44" s="46">
        <v>37080</v>
      </c>
      <c r="F44" s="46">
        <v>31420</v>
      </c>
      <c r="G44" s="46">
        <v>10830</v>
      </c>
      <c r="H44" s="46">
        <v>660</v>
      </c>
      <c r="I44" s="46">
        <v>4100</v>
      </c>
      <c r="J44" s="46">
        <v>9610</v>
      </c>
      <c r="K44" s="46">
        <v>490</v>
      </c>
      <c r="L44" s="46">
        <v>1760</v>
      </c>
      <c r="M44" s="46">
        <v>220</v>
      </c>
      <c r="N44" s="46"/>
      <c r="O44" s="46">
        <v>1280</v>
      </c>
      <c r="P44" s="47">
        <v>12680</v>
      </c>
      <c r="Q44" s="46">
        <v>0</v>
      </c>
      <c r="R44" s="46">
        <v>1250</v>
      </c>
      <c r="S44" s="46"/>
      <c r="T44" s="46">
        <v>0</v>
      </c>
      <c r="U44" s="47">
        <v>10500</v>
      </c>
      <c r="V44" s="46">
        <v>0</v>
      </c>
      <c r="W44" s="46">
        <v>20290</v>
      </c>
      <c r="X44" s="46"/>
      <c r="Y44" s="46"/>
      <c r="Z44" s="33">
        <v>7250</v>
      </c>
      <c r="AB44" s="48">
        <v>171</v>
      </c>
      <c r="AC44" s="48">
        <v>11</v>
      </c>
      <c r="AD44" s="48"/>
      <c r="AE44" s="33">
        <v>7.9824000000000002</v>
      </c>
      <c r="AF44" s="27">
        <v>95</v>
      </c>
      <c r="AG44" s="48">
        <v>8</v>
      </c>
      <c r="AI44" s="51">
        <v>74.152046783625735</v>
      </c>
      <c r="AJ44" s="48">
        <v>954.5454545454545</v>
      </c>
      <c r="AK44" s="51"/>
      <c r="AL44" s="27">
        <v>908.24814592102621</v>
      </c>
      <c r="AM44" s="27"/>
      <c r="AN44" s="27">
        <v>118430</v>
      </c>
      <c r="AO44" s="27">
        <v>47250</v>
      </c>
      <c r="AP44" s="3"/>
      <c r="AQ44" s="32"/>
      <c r="AT44" s="27">
        <v>13350</v>
      </c>
      <c r="AU44" s="47">
        <v>1500</v>
      </c>
      <c r="AV44" s="46">
        <v>3470</v>
      </c>
      <c r="AW44" s="46">
        <v>0</v>
      </c>
      <c r="AX44" s="46"/>
      <c r="AY44" s="46"/>
      <c r="AZ44" s="47">
        <v>11850</v>
      </c>
      <c r="BA44" s="46">
        <v>-580</v>
      </c>
      <c r="BB44" s="46">
        <v>0</v>
      </c>
      <c r="BC44" s="46"/>
      <c r="BD44" s="46">
        <v>20</v>
      </c>
      <c r="BE44" s="3"/>
      <c r="BF44" s="48">
        <v>1</v>
      </c>
      <c r="BG44" s="48">
        <v>3</v>
      </c>
      <c r="BH44" s="48"/>
      <c r="BI44" s="27">
        <f t="shared" si="3"/>
        <v>1500</v>
      </c>
      <c r="BJ44" s="48">
        <f t="shared" si="0"/>
        <v>3950</v>
      </c>
    </row>
    <row r="45" spans="1:62" ht="12" customHeight="1" outlineLevel="1">
      <c r="A45" s="49">
        <v>44378</v>
      </c>
      <c r="B45" s="49" t="s">
        <v>71</v>
      </c>
      <c r="C45" s="50">
        <v>146080</v>
      </c>
      <c r="D45" s="23">
        <v>146080</v>
      </c>
      <c r="E45" s="46">
        <v>36600</v>
      </c>
      <c r="F45" s="46">
        <v>31230</v>
      </c>
      <c r="G45" s="46">
        <v>10830</v>
      </c>
      <c r="H45" s="46">
        <v>660</v>
      </c>
      <c r="I45" s="46">
        <v>4110</v>
      </c>
      <c r="J45" s="46">
        <v>9610</v>
      </c>
      <c r="K45" s="46">
        <v>490</v>
      </c>
      <c r="L45" s="46">
        <v>1760</v>
      </c>
      <c r="M45" s="46">
        <v>220</v>
      </c>
      <c r="N45" s="46"/>
      <c r="O45" s="46">
        <v>1280</v>
      </c>
      <c r="P45" s="47">
        <v>10960</v>
      </c>
      <c r="Q45" s="46">
        <v>760</v>
      </c>
      <c r="R45" s="46">
        <v>1190</v>
      </c>
      <c r="S45" s="46"/>
      <c r="T45" s="46">
        <v>-740</v>
      </c>
      <c r="U45" s="47">
        <v>9970</v>
      </c>
      <c r="V45" s="46">
        <v>0</v>
      </c>
      <c r="W45" s="46">
        <v>20290</v>
      </c>
      <c r="X45" s="46"/>
      <c r="Y45" s="46"/>
      <c r="Z45" s="33">
        <v>0</v>
      </c>
      <c r="AB45" s="48">
        <v>151</v>
      </c>
      <c r="AC45" s="48">
        <v>11</v>
      </c>
      <c r="AD45" s="48"/>
      <c r="AE45" s="33"/>
      <c r="AF45" s="27"/>
      <c r="AG45" s="48"/>
      <c r="AI45" s="51">
        <v>72.58278145695364</v>
      </c>
      <c r="AJ45" s="48">
        <v>906.36363636363637</v>
      </c>
      <c r="AK45" s="51"/>
      <c r="AL45" s="27">
        <v>0</v>
      </c>
      <c r="AM45" s="27"/>
      <c r="AN45" s="27">
        <v>117730</v>
      </c>
      <c r="AO45" s="27">
        <v>28350</v>
      </c>
      <c r="AP45" s="3"/>
      <c r="AQ45" s="32"/>
      <c r="AT45" s="27">
        <v>3950</v>
      </c>
      <c r="AU45" s="47">
        <v>0</v>
      </c>
      <c r="AV45" s="46">
        <v>3470</v>
      </c>
      <c r="AW45" s="46">
        <v>0</v>
      </c>
      <c r="AX45" s="46"/>
      <c r="AY45" s="46"/>
      <c r="AZ45" s="47">
        <v>3950</v>
      </c>
      <c r="BA45" s="46">
        <v>-580</v>
      </c>
      <c r="BB45" s="46">
        <v>0</v>
      </c>
      <c r="BC45" s="46"/>
      <c r="BD45" s="46">
        <v>20</v>
      </c>
      <c r="BE45" s="3"/>
      <c r="BF45" s="48">
        <v>0</v>
      </c>
      <c r="BG45" s="48">
        <v>1</v>
      </c>
      <c r="BH45" s="48"/>
      <c r="BI45" s="27">
        <v>0</v>
      </c>
      <c r="BJ45" s="48">
        <f t="shared" si="0"/>
        <v>3950</v>
      </c>
    </row>
    <row r="46" spans="1:62" ht="12" customHeight="1" outlineLevel="1">
      <c r="A46" s="49">
        <v>44409</v>
      </c>
      <c r="B46" s="49" t="s">
        <v>72</v>
      </c>
      <c r="C46" s="50">
        <v>169080</v>
      </c>
      <c r="D46" s="23">
        <v>163860</v>
      </c>
      <c r="E46" s="46">
        <v>36800</v>
      </c>
      <c r="F46" s="46">
        <v>31310</v>
      </c>
      <c r="G46" s="46">
        <v>10830</v>
      </c>
      <c r="H46" s="46">
        <v>660</v>
      </c>
      <c r="I46" s="46">
        <v>4110</v>
      </c>
      <c r="J46" s="46">
        <v>9610</v>
      </c>
      <c r="K46" s="46">
        <v>490</v>
      </c>
      <c r="L46" s="46">
        <v>1760</v>
      </c>
      <c r="M46" s="46">
        <v>220</v>
      </c>
      <c r="N46" s="46"/>
      <c r="O46" s="46">
        <v>1280</v>
      </c>
      <c r="P46" s="47">
        <v>20760</v>
      </c>
      <c r="Q46" s="46">
        <v>2610</v>
      </c>
      <c r="R46" s="46">
        <v>1410</v>
      </c>
      <c r="S46" s="46"/>
      <c r="T46" s="46">
        <v>-890</v>
      </c>
      <c r="U46" s="47">
        <v>11800</v>
      </c>
      <c r="V46" s="46">
        <v>0</v>
      </c>
      <c r="W46" s="46">
        <v>20290</v>
      </c>
      <c r="X46" s="46"/>
      <c r="Y46" s="46"/>
      <c r="Z46" s="33">
        <v>5220</v>
      </c>
      <c r="AB46" s="48">
        <v>226</v>
      </c>
      <c r="AC46" s="48">
        <v>12</v>
      </c>
      <c r="AD46" s="48"/>
      <c r="AE46" s="33">
        <v>4.9889999999999999</v>
      </c>
      <c r="AF46" s="27">
        <v>100</v>
      </c>
      <c r="AG46" s="48">
        <v>5</v>
      </c>
      <c r="AI46" s="51">
        <v>91.858407079646014</v>
      </c>
      <c r="AJ46" s="48">
        <v>983.33333333333337</v>
      </c>
      <c r="AK46" s="51"/>
      <c r="AL46" s="27">
        <v>1046.3018641010224</v>
      </c>
      <c r="AM46" s="27"/>
      <c r="AN46" s="27">
        <v>119930</v>
      </c>
      <c r="AO46" s="27">
        <v>49150</v>
      </c>
      <c r="AP46" s="3"/>
      <c r="AQ46" s="32"/>
      <c r="AT46" s="27">
        <v>7900</v>
      </c>
      <c r="AU46" s="47">
        <v>0</v>
      </c>
      <c r="AV46" s="46">
        <v>3470</v>
      </c>
      <c r="AW46" s="46">
        <v>0</v>
      </c>
      <c r="AX46" s="46"/>
      <c r="AY46" s="46"/>
      <c r="AZ46" s="47">
        <v>7900</v>
      </c>
      <c r="BA46" s="46">
        <v>-580</v>
      </c>
      <c r="BB46" s="46">
        <v>0</v>
      </c>
      <c r="BC46" s="46"/>
      <c r="BD46" s="46">
        <v>20</v>
      </c>
      <c r="BE46" s="3"/>
      <c r="BF46" s="48">
        <v>0</v>
      </c>
      <c r="BG46" s="48">
        <v>2</v>
      </c>
      <c r="BH46" s="48"/>
      <c r="BI46" s="27">
        <v>0</v>
      </c>
      <c r="BJ46" s="48">
        <f t="shared" si="0"/>
        <v>3950</v>
      </c>
    </row>
    <row r="47" spans="1:62" ht="12" customHeight="1" outlineLevel="1">
      <c r="A47" s="49">
        <v>44440</v>
      </c>
      <c r="B47" s="49" t="s">
        <v>73</v>
      </c>
      <c r="C47" s="50">
        <v>142750</v>
      </c>
      <c r="D47" s="23">
        <v>142750</v>
      </c>
      <c r="E47" s="46">
        <v>36830</v>
      </c>
      <c r="F47" s="46">
        <v>31230</v>
      </c>
      <c r="G47" s="46">
        <v>10830</v>
      </c>
      <c r="H47" s="46">
        <v>660</v>
      </c>
      <c r="I47" s="46">
        <v>4110</v>
      </c>
      <c r="J47" s="46">
        <v>9610</v>
      </c>
      <c r="K47" s="46">
        <v>490</v>
      </c>
      <c r="L47" s="46">
        <v>1760</v>
      </c>
      <c r="M47" s="46">
        <v>220</v>
      </c>
      <c r="N47" s="46"/>
      <c r="O47" s="46">
        <v>1280</v>
      </c>
      <c r="P47" s="47">
        <v>18450</v>
      </c>
      <c r="Q47" s="61">
        <v>-1910</v>
      </c>
      <c r="R47" s="46">
        <v>1420</v>
      </c>
      <c r="S47" s="46"/>
      <c r="T47" s="46">
        <v>-890</v>
      </c>
      <c r="U47" s="47">
        <v>5460</v>
      </c>
      <c r="V47" s="46">
        <v>0</v>
      </c>
      <c r="W47" s="46">
        <v>20290</v>
      </c>
      <c r="X47" s="46"/>
      <c r="Y47" s="46"/>
      <c r="Z47" s="33">
        <v>0</v>
      </c>
      <c r="AB47" s="48">
        <v>205</v>
      </c>
      <c r="AC47" s="48">
        <v>6</v>
      </c>
      <c r="AD47" s="48"/>
      <c r="AE47" s="33"/>
      <c r="AF47" s="27"/>
      <c r="AG47" s="48"/>
      <c r="AI47" s="51">
        <v>90</v>
      </c>
      <c r="AJ47" s="48">
        <v>910</v>
      </c>
      <c r="AK47" s="51"/>
      <c r="AL47" s="27">
        <v>0</v>
      </c>
      <c r="AM47" s="27"/>
      <c r="AN47" s="27">
        <v>115370</v>
      </c>
      <c r="AO47" s="27">
        <v>27380</v>
      </c>
      <c r="AP47" s="3"/>
      <c r="AQ47" s="32"/>
      <c r="AT47" s="27">
        <v>0</v>
      </c>
      <c r="AU47" s="47">
        <v>0</v>
      </c>
      <c r="AV47" s="46">
        <v>3470</v>
      </c>
      <c r="AW47" s="46">
        <v>0</v>
      </c>
      <c r="AX47" s="46"/>
      <c r="AY47" s="46"/>
      <c r="AZ47" s="47">
        <v>0</v>
      </c>
      <c r="BA47" s="46">
        <v>-580</v>
      </c>
      <c r="BB47" s="46">
        <v>0</v>
      </c>
      <c r="BC47" s="46"/>
      <c r="BD47" s="46">
        <v>20</v>
      </c>
      <c r="BE47" s="3"/>
      <c r="BF47" s="48">
        <v>0</v>
      </c>
      <c r="BG47" s="48">
        <v>0</v>
      </c>
      <c r="BH47" s="48"/>
      <c r="BI47" s="27">
        <v>0</v>
      </c>
      <c r="BJ47" s="48">
        <v>0</v>
      </c>
    </row>
    <row r="48" spans="1:62" ht="12" customHeight="1" outlineLevel="1">
      <c r="A48" s="49">
        <v>44470</v>
      </c>
      <c r="B48" s="49" t="s">
        <v>74</v>
      </c>
      <c r="C48" s="50">
        <v>157460</v>
      </c>
      <c r="D48" s="23">
        <v>151580</v>
      </c>
      <c r="E48" s="46">
        <v>36690</v>
      </c>
      <c r="F48" s="46">
        <v>31230</v>
      </c>
      <c r="G48" s="46">
        <v>10830</v>
      </c>
      <c r="H48" s="46">
        <v>660</v>
      </c>
      <c r="I48" s="46">
        <v>4110</v>
      </c>
      <c r="J48" s="46">
        <v>9610</v>
      </c>
      <c r="K48" s="46">
        <v>490</v>
      </c>
      <c r="L48" s="46">
        <v>1760</v>
      </c>
      <c r="M48" s="46">
        <v>220</v>
      </c>
      <c r="N48" s="46"/>
      <c r="O48" s="46">
        <v>1280</v>
      </c>
      <c r="P48" s="47">
        <v>12100</v>
      </c>
      <c r="Q48" s="46">
        <v>1320</v>
      </c>
      <c r="R48" s="46">
        <v>1150</v>
      </c>
      <c r="S48" s="46"/>
      <c r="T48" s="46">
        <v>-890</v>
      </c>
      <c r="U48" s="47">
        <v>9920</v>
      </c>
      <c r="V48" s="46">
        <v>0</v>
      </c>
      <c r="W48" s="46">
        <v>20290</v>
      </c>
      <c r="X48" s="46"/>
      <c r="Y48" s="46"/>
      <c r="Z48" s="33">
        <v>5880</v>
      </c>
      <c r="AB48" s="48">
        <v>151</v>
      </c>
      <c r="AC48" s="48">
        <v>10</v>
      </c>
      <c r="AD48" s="48"/>
      <c r="AE48" s="33">
        <v>5.9867999999999997</v>
      </c>
      <c r="AF48" s="48">
        <v>106</v>
      </c>
      <c r="AG48" s="48">
        <v>6</v>
      </c>
      <c r="AI48" s="51">
        <v>80.132450331125824</v>
      </c>
      <c r="AJ48" s="48">
        <v>992</v>
      </c>
      <c r="AK48" s="51"/>
      <c r="AL48" s="48">
        <v>982.16075365804772</v>
      </c>
      <c r="AM48" s="58"/>
      <c r="AN48" s="27">
        <v>118190</v>
      </c>
      <c r="AO48" s="27">
        <v>39270</v>
      </c>
      <c r="AP48" s="3"/>
      <c r="AQ48" s="32"/>
      <c r="AT48" s="27">
        <v>7900</v>
      </c>
      <c r="AU48" s="47">
        <v>0</v>
      </c>
      <c r="AV48" s="46">
        <v>3470</v>
      </c>
      <c r="AW48" s="46">
        <v>0</v>
      </c>
      <c r="AX48" s="46"/>
      <c r="AY48" s="46"/>
      <c r="AZ48" s="47">
        <v>7900</v>
      </c>
      <c r="BA48" s="46">
        <v>-580</v>
      </c>
      <c r="BB48" s="46">
        <v>0</v>
      </c>
      <c r="BC48" s="46"/>
      <c r="BD48" s="46">
        <v>20</v>
      </c>
      <c r="BE48" s="3"/>
      <c r="BF48" s="48">
        <v>0</v>
      </c>
      <c r="BG48" s="48">
        <v>2</v>
      </c>
      <c r="BH48" s="48"/>
      <c r="BI48" s="48">
        <v>0</v>
      </c>
      <c r="BJ48" s="48">
        <f>AZ48/BG48</f>
        <v>3950</v>
      </c>
    </row>
    <row r="49" spans="1:77" ht="12" customHeight="1" outlineLevel="1">
      <c r="A49" s="49">
        <v>44501</v>
      </c>
      <c r="B49" s="49" t="s">
        <v>63</v>
      </c>
      <c r="C49" s="50">
        <v>152520</v>
      </c>
      <c r="D49" s="23">
        <v>152520</v>
      </c>
      <c r="E49" s="46">
        <v>36450</v>
      </c>
      <c r="F49" s="46">
        <v>31230</v>
      </c>
      <c r="G49" s="46">
        <v>10830</v>
      </c>
      <c r="H49" s="46">
        <v>660</v>
      </c>
      <c r="I49" s="46">
        <v>4110</v>
      </c>
      <c r="J49" s="46">
        <v>9610</v>
      </c>
      <c r="K49" s="46">
        <v>490</v>
      </c>
      <c r="L49" s="46">
        <v>1760</v>
      </c>
      <c r="M49" s="46">
        <v>220</v>
      </c>
      <c r="N49" s="46"/>
      <c r="O49" s="46">
        <v>1280</v>
      </c>
      <c r="P49" s="47">
        <v>14130</v>
      </c>
      <c r="Q49" s="46">
        <v>1280</v>
      </c>
      <c r="R49" s="46">
        <v>1080</v>
      </c>
      <c r="S49" s="46"/>
      <c r="T49" s="46">
        <v>-890</v>
      </c>
      <c r="U49" s="47">
        <v>7930</v>
      </c>
      <c r="V49" s="46">
        <v>0</v>
      </c>
      <c r="W49" s="46">
        <v>20290</v>
      </c>
      <c r="X49" s="46"/>
      <c r="Y49" s="46"/>
      <c r="Z49" s="33">
        <v>0</v>
      </c>
      <c r="AB49" s="48">
        <v>168</v>
      </c>
      <c r="AC49" s="48">
        <v>8</v>
      </c>
      <c r="AD49" s="48"/>
      <c r="AE49" s="33"/>
      <c r="AF49" s="58"/>
      <c r="AG49" s="58"/>
      <c r="AI49" s="51">
        <v>84.107142857142861</v>
      </c>
      <c r="AJ49" s="48">
        <v>991.25</v>
      </c>
      <c r="AK49" s="51"/>
      <c r="AL49" s="48">
        <v>0</v>
      </c>
      <c r="AM49" s="58"/>
      <c r="AN49" s="27">
        <v>117840</v>
      </c>
      <c r="AO49" s="27">
        <v>34680</v>
      </c>
      <c r="AP49" s="3"/>
      <c r="AQ49" s="32"/>
      <c r="AT49" s="27">
        <v>9150</v>
      </c>
      <c r="AU49" s="47">
        <v>5200</v>
      </c>
      <c r="AV49" s="46">
        <v>3470</v>
      </c>
      <c r="AW49" s="46">
        <v>0</v>
      </c>
      <c r="AX49" s="46"/>
      <c r="AY49" s="46"/>
      <c r="AZ49" s="47">
        <v>3950</v>
      </c>
      <c r="BA49" s="46">
        <v>-580</v>
      </c>
      <c r="BB49" s="46">
        <v>0</v>
      </c>
      <c r="BC49" s="46"/>
      <c r="BD49" s="46">
        <v>20</v>
      </c>
      <c r="BE49" s="3"/>
      <c r="BF49" s="48">
        <v>4</v>
      </c>
      <c r="BG49" s="48">
        <v>1</v>
      </c>
      <c r="BH49" s="48"/>
      <c r="BI49" s="27">
        <f>AU49/BF49</f>
        <v>1300</v>
      </c>
      <c r="BJ49" s="48">
        <f>AZ49/BG49</f>
        <v>3950</v>
      </c>
    </row>
    <row r="50" spans="1:77" ht="12" customHeight="1" outlineLevel="1">
      <c r="A50" s="52">
        <v>44531</v>
      </c>
      <c r="B50" s="52" t="s">
        <v>64</v>
      </c>
      <c r="C50" s="53">
        <v>165100</v>
      </c>
      <c r="D50" s="36">
        <v>158510</v>
      </c>
      <c r="E50" s="54">
        <v>36600</v>
      </c>
      <c r="F50" s="54">
        <v>31600</v>
      </c>
      <c r="G50" s="54">
        <v>10830</v>
      </c>
      <c r="H50" s="54">
        <v>660</v>
      </c>
      <c r="I50" s="54">
        <v>4110</v>
      </c>
      <c r="J50" s="54">
        <v>9610</v>
      </c>
      <c r="K50" s="54">
        <v>490</v>
      </c>
      <c r="L50" s="54">
        <v>1760</v>
      </c>
      <c r="M50" s="54">
        <v>220</v>
      </c>
      <c r="N50" s="54"/>
      <c r="O50" s="54">
        <v>1280</v>
      </c>
      <c r="P50" s="55">
        <v>16630</v>
      </c>
      <c r="Q50" s="54">
        <v>770</v>
      </c>
      <c r="R50" s="54">
        <v>1300</v>
      </c>
      <c r="S50" s="54"/>
      <c r="T50" s="54">
        <v>-860</v>
      </c>
      <c r="U50" s="55">
        <v>8510</v>
      </c>
      <c r="V50" s="54">
        <v>0</v>
      </c>
      <c r="W50" s="54">
        <v>20290</v>
      </c>
      <c r="X50" s="54"/>
      <c r="Y50" s="54"/>
      <c r="Z50" s="39">
        <v>6590</v>
      </c>
      <c r="AA50" s="45"/>
      <c r="AB50" s="56">
        <v>196</v>
      </c>
      <c r="AC50" s="56">
        <v>9</v>
      </c>
      <c r="AD50" s="56"/>
      <c r="AE50" s="39">
        <v>6.9882999999999997</v>
      </c>
      <c r="AF50" s="56">
        <v>113</v>
      </c>
      <c r="AG50" s="56">
        <v>7</v>
      </c>
      <c r="AH50" s="45"/>
      <c r="AI50" s="57">
        <v>84.84693877551021</v>
      </c>
      <c r="AJ50" s="56">
        <v>945.55555555555554</v>
      </c>
      <c r="AK50" s="57"/>
      <c r="AL50" s="41">
        <v>943.00473648813022</v>
      </c>
      <c r="AM50" s="41"/>
      <c r="AN50" s="41">
        <v>118100</v>
      </c>
      <c r="AO50" s="41">
        <v>47000</v>
      </c>
      <c r="AP50" s="45"/>
      <c r="AQ50" s="62"/>
      <c r="AR50" s="40"/>
      <c r="AS50" s="40"/>
      <c r="AT50" s="41">
        <v>11800</v>
      </c>
      <c r="AU50" s="55">
        <v>3900</v>
      </c>
      <c r="AV50" s="54">
        <v>3470</v>
      </c>
      <c r="AW50" s="54">
        <v>0</v>
      </c>
      <c r="AX50" s="54"/>
      <c r="AY50" s="54"/>
      <c r="AZ50" s="55">
        <v>7900</v>
      </c>
      <c r="BA50" s="54">
        <v>-580</v>
      </c>
      <c r="BB50" s="54">
        <v>0</v>
      </c>
      <c r="BC50" s="54"/>
      <c r="BD50" s="54">
        <v>20</v>
      </c>
      <c r="BE50" s="45"/>
      <c r="BF50" s="56">
        <v>3</v>
      </c>
      <c r="BG50" s="56">
        <v>2</v>
      </c>
      <c r="BH50" s="56"/>
      <c r="BI50" s="41">
        <f>AU50/BF50</f>
        <v>1300</v>
      </c>
      <c r="BJ50" s="56">
        <f>AZ50/BG50</f>
        <v>3950</v>
      </c>
    </row>
    <row r="51" spans="1:77" ht="12" customHeight="1" outlineLevel="1">
      <c r="A51" s="49">
        <v>44562</v>
      </c>
      <c r="B51" s="49" t="s">
        <v>65</v>
      </c>
      <c r="C51" s="50">
        <v>105390</v>
      </c>
      <c r="D51" s="23">
        <v>105390</v>
      </c>
      <c r="E51" s="46">
        <v>21240</v>
      </c>
      <c r="F51" s="46">
        <v>18200</v>
      </c>
      <c r="G51" s="46">
        <v>6288</v>
      </c>
      <c r="H51" s="46">
        <v>383</v>
      </c>
      <c r="I51" s="46">
        <v>2390</v>
      </c>
      <c r="J51" s="46">
        <v>5580</v>
      </c>
      <c r="K51" s="46">
        <v>280</v>
      </c>
      <c r="L51" s="46">
        <v>1022</v>
      </c>
      <c r="M51" s="46">
        <v>130</v>
      </c>
      <c r="N51" s="46"/>
      <c r="O51" s="46">
        <v>740</v>
      </c>
      <c r="P51" s="47">
        <v>11180</v>
      </c>
      <c r="Q51" s="46">
        <v>652</v>
      </c>
      <c r="R51" s="46">
        <v>683</v>
      </c>
      <c r="S51" s="46"/>
      <c r="T51" s="46">
        <v>0</v>
      </c>
      <c r="U51" s="47">
        <v>7920</v>
      </c>
      <c r="V51" s="46">
        <v>0</v>
      </c>
      <c r="W51" s="46">
        <v>11781.290322580646</v>
      </c>
      <c r="X51" s="46"/>
      <c r="Y51" s="46"/>
      <c r="Z51" s="33">
        <v>0</v>
      </c>
      <c r="AA51" s="3"/>
      <c r="AB51" s="48">
        <v>135</v>
      </c>
      <c r="AC51" s="48">
        <v>8</v>
      </c>
      <c r="AD51" s="48"/>
      <c r="AE51" s="33"/>
      <c r="AF51" s="58"/>
      <c r="AG51" s="58"/>
      <c r="AH51" s="3"/>
      <c r="AI51" s="51">
        <v>82.81481481481481</v>
      </c>
      <c r="AJ51" s="48">
        <v>990</v>
      </c>
      <c r="AK51" s="51"/>
      <c r="AL51" s="27">
        <v>0</v>
      </c>
      <c r="AM51" s="48"/>
      <c r="AN51" s="27">
        <v>69381.290322580651</v>
      </c>
      <c r="AO51" s="27">
        <v>36010</v>
      </c>
      <c r="AP51" s="3"/>
      <c r="AQ51" s="63"/>
      <c r="AT51" s="27">
        <v>14900</v>
      </c>
      <c r="AU51" s="47">
        <v>7000</v>
      </c>
      <c r="AV51" s="46">
        <v>2010</v>
      </c>
      <c r="AW51" s="46">
        <v>0</v>
      </c>
      <c r="AX51" s="46"/>
      <c r="AY51" s="46"/>
      <c r="AZ51" s="47">
        <v>7900</v>
      </c>
      <c r="BA51" s="46">
        <v>0</v>
      </c>
      <c r="BB51" s="46">
        <v>0</v>
      </c>
      <c r="BC51" s="46"/>
      <c r="BD51" s="46">
        <v>12</v>
      </c>
      <c r="BE51" s="3"/>
      <c r="BF51" s="48">
        <v>5</v>
      </c>
      <c r="BG51" s="48">
        <v>2</v>
      </c>
      <c r="BH51" s="48"/>
      <c r="BI51" s="27">
        <f>AU51/BF51</f>
        <v>1400</v>
      </c>
      <c r="BJ51" s="48">
        <f>AZ51/BG51</f>
        <v>3950</v>
      </c>
    </row>
    <row r="52" spans="1:77" ht="12" customHeight="1" outlineLevel="1">
      <c r="A52" s="49"/>
      <c r="B52" s="64">
        <f>B3-B2</f>
        <v>1391</v>
      </c>
      <c r="C52" s="65">
        <f>SUM(C4:C51)</f>
        <v>7556540</v>
      </c>
      <c r="D52" s="66">
        <f>AVERAGE(D6:D51)</f>
        <v>161501.52173913043</v>
      </c>
      <c r="E52" s="67"/>
      <c r="F52" s="67"/>
      <c r="G52" s="67"/>
      <c r="H52" s="67"/>
      <c r="I52" s="67"/>
      <c r="K52" s="67"/>
      <c r="L52" s="67"/>
      <c r="M52" s="67"/>
      <c r="N52" s="67"/>
      <c r="O52" s="67"/>
      <c r="P52" s="68"/>
      <c r="Q52" s="67"/>
      <c r="R52" s="67"/>
      <c r="S52" s="67"/>
      <c r="T52" s="67"/>
      <c r="U52" s="68"/>
      <c r="V52" s="282"/>
      <c r="W52" s="67"/>
      <c r="X52" s="67"/>
      <c r="Y52" s="67"/>
      <c r="Z52" s="67"/>
      <c r="AA52" s="3"/>
      <c r="AB52" s="48"/>
      <c r="AC52" s="48"/>
      <c r="AD52" s="48"/>
      <c r="AE52" s="67"/>
      <c r="AF52" s="48"/>
      <c r="AG52" s="48"/>
      <c r="AH52" s="3"/>
      <c r="AI52" s="51"/>
      <c r="AJ52" s="51"/>
      <c r="AK52" s="51"/>
      <c r="AL52" s="48"/>
      <c r="AM52" s="58"/>
      <c r="AN52" s="48"/>
      <c r="AO52" s="48"/>
      <c r="AP52" s="3"/>
      <c r="AQ52" s="69"/>
      <c r="AR52" s="3"/>
      <c r="AS52" s="3"/>
      <c r="AT52" s="70"/>
      <c r="AU52" s="68"/>
      <c r="AV52" s="67"/>
      <c r="AW52" s="67"/>
      <c r="AX52" s="67"/>
      <c r="AY52" s="67"/>
      <c r="AZ52" s="68"/>
      <c r="BA52" s="67"/>
      <c r="BB52" s="67"/>
      <c r="BC52" s="67"/>
      <c r="BD52" s="67"/>
      <c r="BE52" s="3"/>
      <c r="BF52" s="48"/>
      <c r="BG52" s="48"/>
      <c r="BH52" s="48"/>
      <c r="BI52" s="48"/>
      <c r="BJ52" s="48"/>
    </row>
    <row r="53" spans="1:77" ht="12" customHeight="1">
      <c r="A53" s="1" t="s">
        <v>126</v>
      </c>
      <c r="B53" s="2"/>
      <c r="C53" s="71"/>
      <c r="D53" s="31"/>
      <c r="AI53" s="3" t="s">
        <v>0</v>
      </c>
      <c r="AJ53" s="3"/>
      <c r="AK53" s="3"/>
      <c r="AL53" s="3"/>
      <c r="AM53" s="3"/>
      <c r="AN53" s="3"/>
      <c r="AO53" s="3"/>
      <c r="AP53" s="3"/>
      <c r="AT53" s="3"/>
      <c r="AU53" s="3"/>
      <c r="BC53" s="3"/>
      <c r="BD53" s="3"/>
      <c r="BE53" s="3"/>
    </row>
    <row r="54" spans="1:77" ht="12" customHeight="1">
      <c r="A54" s="7"/>
      <c r="B54" s="8"/>
      <c r="J54" s="72"/>
      <c r="L54" s="31"/>
      <c r="P54" s="31"/>
      <c r="AB54" s="9" t="s">
        <v>1</v>
      </c>
      <c r="AC54" s="10" t="s">
        <v>2</v>
      </c>
      <c r="AD54" s="10" t="s">
        <v>3</v>
      </c>
      <c r="AE54" s="10" t="s">
        <v>2</v>
      </c>
      <c r="AF54" s="11" t="s">
        <v>4</v>
      </c>
      <c r="AG54" s="11"/>
      <c r="AI54" s="9" t="s">
        <v>75</v>
      </c>
      <c r="AJ54" s="10" t="s">
        <v>76</v>
      </c>
      <c r="AK54" s="10" t="s">
        <v>77</v>
      </c>
      <c r="AL54" s="10" t="s">
        <v>76</v>
      </c>
      <c r="AM54" s="3"/>
      <c r="AN54" s="9" t="s">
        <v>5</v>
      </c>
      <c r="AO54" s="9" t="s">
        <v>6</v>
      </c>
      <c r="AP54" s="3"/>
      <c r="AT54" s="73" t="s">
        <v>78</v>
      </c>
    </row>
    <row r="55" spans="1:77" ht="12" customHeight="1">
      <c r="A55" s="7"/>
      <c r="B55" s="8"/>
      <c r="C55" s="74" t="s">
        <v>7</v>
      </c>
      <c r="D55" s="75" t="s">
        <v>8</v>
      </c>
      <c r="E55" s="76" t="s">
        <v>9</v>
      </c>
      <c r="F55" s="76" t="s">
        <v>10</v>
      </c>
      <c r="G55" s="76" t="s">
        <v>11</v>
      </c>
      <c r="H55" s="76" t="s">
        <v>12</v>
      </c>
      <c r="I55" s="76" t="s">
        <v>13</v>
      </c>
      <c r="J55" s="77" t="s">
        <v>14</v>
      </c>
      <c r="K55" s="76" t="s">
        <v>15</v>
      </c>
      <c r="L55" s="76" t="s">
        <v>16</v>
      </c>
      <c r="M55" s="76" t="s">
        <v>17</v>
      </c>
      <c r="N55" s="76" t="s">
        <v>18</v>
      </c>
      <c r="O55" s="76" t="s">
        <v>19</v>
      </c>
      <c r="P55" s="78" t="s">
        <v>20</v>
      </c>
      <c r="Q55" s="76" t="s">
        <v>21</v>
      </c>
      <c r="R55" s="76" t="s">
        <v>22</v>
      </c>
      <c r="S55" s="76" t="s">
        <v>23</v>
      </c>
      <c r="T55" s="76" t="s">
        <v>24</v>
      </c>
      <c r="U55" s="78" t="s">
        <v>25</v>
      </c>
      <c r="V55" s="76" t="s">
        <v>26</v>
      </c>
      <c r="W55" s="79" t="s">
        <v>127</v>
      </c>
      <c r="X55" s="76" t="s">
        <v>27</v>
      </c>
      <c r="Y55" s="79" t="s">
        <v>28</v>
      </c>
      <c r="Z55" s="80" t="s">
        <v>29</v>
      </c>
      <c r="AA55" s="9"/>
      <c r="AB55" s="81" t="s">
        <v>30</v>
      </c>
      <c r="AC55" s="81" t="s">
        <v>31</v>
      </c>
      <c r="AD55" s="81" t="s">
        <v>32</v>
      </c>
      <c r="AE55" s="80" t="s">
        <v>33</v>
      </c>
      <c r="AF55" s="9" t="s">
        <v>34</v>
      </c>
      <c r="AG55" s="9" t="s">
        <v>35</v>
      </c>
      <c r="AH55" s="9"/>
      <c r="AI55" s="81" t="s">
        <v>36</v>
      </c>
      <c r="AJ55" s="81" t="s">
        <v>37</v>
      </c>
      <c r="AK55" s="81" t="s">
        <v>28</v>
      </c>
      <c r="AL55" s="80" t="s">
        <v>38</v>
      </c>
      <c r="AM55" s="9"/>
      <c r="AN55" s="9" t="s">
        <v>39</v>
      </c>
      <c r="AO55" s="9" t="s">
        <v>40</v>
      </c>
      <c r="AP55" s="3"/>
      <c r="AQ55" s="82" t="s">
        <v>41</v>
      </c>
      <c r="AR55" s="82" t="s">
        <v>79</v>
      </c>
      <c r="AS55" s="29"/>
      <c r="AT55" s="83" t="s">
        <v>80</v>
      </c>
      <c r="AU55" s="83" t="s">
        <v>81</v>
      </c>
      <c r="AV55" s="83" t="s">
        <v>28</v>
      </c>
      <c r="AW55" s="84" t="s">
        <v>4</v>
      </c>
      <c r="AX55" s="3" t="s">
        <v>82</v>
      </c>
      <c r="AY55" s="3" t="s">
        <v>6</v>
      </c>
      <c r="AZ55" s="3" t="s">
        <v>83</v>
      </c>
      <c r="BO55" s="64"/>
      <c r="BQ55" s="31"/>
    </row>
    <row r="56" spans="1:77" ht="12" customHeight="1">
      <c r="A56" s="49">
        <v>44531</v>
      </c>
      <c r="B56" s="49" t="s">
        <v>64</v>
      </c>
      <c r="C56" s="85">
        <f>SUM(D56,Z56)</f>
        <v>158110</v>
      </c>
      <c r="D56" s="86">
        <f t="shared" ref="D56:D83" si="4">ROUNDDOWN(SUM(E56:Y56),-1)</f>
        <v>158110</v>
      </c>
      <c r="E56" s="87">
        <v>22620</v>
      </c>
      <c r="F56" s="87">
        <v>26850</v>
      </c>
      <c r="G56" s="87">
        <v>12710</v>
      </c>
      <c r="H56" s="87">
        <v>760</v>
      </c>
      <c r="I56" s="87">
        <v>1330</v>
      </c>
      <c r="J56" s="87">
        <v>4430</v>
      </c>
      <c r="K56" s="87">
        <v>540</v>
      </c>
      <c r="L56" s="87">
        <v>1250</v>
      </c>
      <c r="M56" s="87">
        <v>110</v>
      </c>
      <c r="N56" s="87">
        <v>250</v>
      </c>
      <c r="O56" s="87">
        <v>700</v>
      </c>
      <c r="P56" s="88">
        <v>41950</v>
      </c>
      <c r="Q56" s="87">
        <v>8770</v>
      </c>
      <c r="R56" s="87">
        <v>2350</v>
      </c>
      <c r="S56" s="87">
        <v>2500</v>
      </c>
      <c r="T56" s="87">
        <v>-690</v>
      </c>
      <c r="U56" s="88">
        <v>13440</v>
      </c>
      <c r="V56" s="87">
        <v>720</v>
      </c>
      <c r="W56" s="89">
        <v>12310</v>
      </c>
      <c r="X56" s="87">
        <v>3000</v>
      </c>
      <c r="Y56" s="87">
        <v>2210</v>
      </c>
      <c r="Z56" s="90">
        <v>0</v>
      </c>
      <c r="AA56" s="91"/>
      <c r="AB56" s="92">
        <v>290</v>
      </c>
      <c r="AC56" s="92">
        <v>14</v>
      </c>
      <c r="AD56" s="93">
        <v>17</v>
      </c>
      <c r="AE56" s="94">
        <v>0</v>
      </c>
      <c r="AF56" s="95">
        <v>1517</v>
      </c>
      <c r="AG56" s="95">
        <v>0</v>
      </c>
      <c r="AH56" s="91"/>
      <c r="AI56" s="92">
        <v>144.65517241379311</v>
      </c>
      <c r="AJ56" s="92">
        <v>960</v>
      </c>
      <c r="AK56" s="92">
        <v>130</v>
      </c>
      <c r="AL56" s="91">
        <v>0</v>
      </c>
      <c r="AM56" s="91"/>
      <c r="AN56" s="92">
        <v>98010</v>
      </c>
      <c r="AO56" s="92">
        <v>60100</v>
      </c>
      <c r="AP56" s="3"/>
      <c r="AQ56" s="69"/>
      <c r="AR56" s="69"/>
      <c r="AS56" s="69"/>
      <c r="AU56" s="3"/>
      <c r="AW56" s="28"/>
      <c r="AX56" s="28"/>
      <c r="AY56" s="28"/>
      <c r="BK56" s="96"/>
      <c r="BL56" s="97"/>
      <c r="BM56" s="97"/>
      <c r="BN56" s="96"/>
      <c r="BO56" s="68"/>
      <c r="BP56" s="67"/>
      <c r="BQ56" s="67"/>
      <c r="BR56" s="67"/>
      <c r="BS56" s="67"/>
      <c r="BU56" s="48"/>
      <c r="BV56" s="48"/>
      <c r="BW56" s="48"/>
      <c r="BX56" s="27"/>
      <c r="BY56" s="48"/>
    </row>
    <row r="57" spans="1:77" ht="12" customHeight="1">
      <c r="A57" s="49">
        <v>44562</v>
      </c>
      <c r="B57" s="49" t="s">
        <v>65</v>
      </c>
      <c r="C57" s="85">
        <f>SUM(D57,Z57)</f>
        <v>215960</v>
      </c>
      <c r="D57" s="86">
        <f t="shared" si="4"/>
        <v>160890</v>
      </c>
      <c r="E57" s="87">
        <v>23240</v>
      </c>
      <c r="F57" s="87">
        <v>26850</v>
      </c>
      <c r="G57" s="87">
        <v>12710</v>
      </c>
      <c r="H57" s="87">
        <v>760</v>
      </c>
      <c r="I57" s="87">
        <v>1330</v>
      </c>
      <c r="J57" s="87">
        <v>5240</v>
      </c>
      <c r="K57" s="87">
        <v>540</v>
      </c>
      <c r="L57" s="87">
        <v>1250</v>
      </c>
      <c r="M57" s="87">
        <v>1240</v>
      </c>
      <c r="N57" s="87">
        <v>250</v>
      </c>
      <c r="O57" s="87">
        <v>700</v>
      </c>
      <c r="P57" s="88">
        <v>41720</v>
      </c>
      <c r="Q57" s="87">
        <v>10070</v>
      </c>
      <c r="R57" s="87">
        <v>3210</v>
      </c>
      <c r="S57" s="87">
        <v>2500</v>
      </c>
      <c r="T57" s="87">
        <v>-690</v>
      </c>
      <c r="U57" s="88">
        <v>10560</v>
      </c>
      <c r="V57" s="87">
        <v>800</v>
      </c>
      <c r="W57" s="89">
        <v>12310</v>
      </c>
      <c r="X57" s="87">
        <v>3000</v>
      </c>
      <c r="Y57" s="87">
        <v>3300</v>
      </c>
      <c r="Z57" s="90">
        <v>55070</v>
      </c>
      <c r="AA57" s="91"/>
      <c r="AB57" s="92">
        <v>289</v>
      </c>
      <c r="AC57" s="92">
        <v>11</v>
      </c>
      <c r="AD57" s="93">
        <v>25.5</v>
      </c>
      <c r="AE57" s="94">
        <v>81</v>
      </c>
      <c r="AF57" s="95">
        <v>1649</v>
      </c>
      <c r="AG57" s="95">
        <v>132</v>
      </c>
      <c r="AH57" s="91"/>
      <c r="AI57" s="92">
        <v>144.35986159169551</v>
      </c>
      <c r="AJ57" s="92">
        <v>960</v>
      </c>
      <c r="AK57" s="92">
        <v>129.41176470588235</v>
      </c>
      <c r="AL57" s="92">
        <v>679.87654320987656</v>
      </c>
      <c r="AM57" s="91"/>
      <c r="AN57" s="92">
        <v>102810</v>
      </c>
      <c r="AO57" s="92">
        <v>113150</v>
      </c>
      <c r="AP57" s="3"/>
      <c r="AQ57" s="69"/>
      <c r="AR57" s="69"/>
      <c r="AS57" s="69"/>
      <c r="AU57" s="3"/>
      <c r="AW57" s="28"/>
      <c r="AX57" s="28"/>
      <c r="AY57" s="28"/>
      <c r="BK57" s="96"/>
      <c r="BL57" s="97"/>
      <c r="BM57" s="97"/>
      <c r="BN57" s="96"/>
      <c r="BO57" s="68"/>
      <c r="BP57" s="67"/>
      <c r="BQ57" s="67"/>
      <c r="BR57" s="67"/>
      <c r="BS57" s="67"/>
      <c r="BU57" s="48"/>
      <c r="BV57" s="48"/>
      <c r="BW57" s="48"/>
      <c r="BX57" s="27"/>
      <c r="BY57" s="48"/>
    </row>
    <row r="58" spans="1:77" ht="12" customHeight="1">
      <c r="A58" s="98" t="s">
        <v>122</v>
      </c>
      <c r="B58" s="99" t="s">
        <v>84</v>
      </c>
      <c r="C58" s="100">
        <f t="shared" ref="C58:C107" si="5">SUM(D58,Z58)</f>
        <v>174184</v>
      </c>
      <c r="D58" s="101">
        <f t="shared" si="4"/>
        <v>139510</v>
      </c>
      <c r="E58" s="102">
        <v>16470</v>
      </c>
      <c r="F58" s="102">
        <v>15600</v>
      </c>
      <c r="G58" s="102">
        <v>7370</v>
      </c>
      <c r="H58" s="102">
        <v>440</v>
      </c>
      <c r="I58" s="102">
        <v>770</v>
      </c>
      <c r="J58" s="102">
        <v>2260</v>
      </c>
      <c r="K58" s="102">
        <v>310</v>
      </c>
      <c r="L58" s="102">
        <v>730</v>
      </c>
      <c r="M58" s="103">
        <v>-50</v>
      </c>
      <c r="N58" s="102">
        <v>150</v>
      </c>
      <c r="O58" s="102">
        <v>580</v>
      </c>
      <c r="P58" s="104">
        <v>54410</v>
      </c>
      <c r="Q58" s="102">
        <v>6090</v>
      </c>
      <c r="R58" s="102">
        <v>3670</v>
      </c>
      <c r="S58" s="102">
        <v>5000</v>
      </c>
      <c r="T58" s="102">
        <v>690</v>
      </c>
      <c r="U58" s="104">
        <v>12480</v>
      </c>
      <c r="V58" s="102">
        <v>450</v>
      </c>
      <c r="W58" s="105">
        <v>7150</v>
      </c>
      <c r="X58" s="102">
        <v>1740</v>
      </c>
      <c r="Y58" s="102">
        <v>3209</v>
      </c>
      <c r="Z58" s="106">
        <v>34674</v>
      </c>
      <c r="AA58" s="107"/>
      <c r="AB58" s="107">
        <v>131</v>
      </c>
      <c r="AC58" s="107">
        <v>2</v>
      </c>
      <c r="AD58" s="108">
        <v>24.8</v>
      </c>
      <c r="AE58" s="106">
        <v>51</v>
      </c>
      <c r="AF58" s="107">
        <v>1568</v>
      </c>
      <c r="AG58" s="107">
        <v>51</v>
      </c>
      <c r="AH58" s="107"/>
      <c r="AI58" s="109"/>
      <c r="AJ58" s="109"/>
      <c r="AK58" s="109"/>
      <c r="AL58" s="109"/>
      <c r="AM58" s="109"/>
      <c r="AN58" s="109"/>
      <c r="AO58" s="109"/>
      <c r="AQ58" s="110"/>
      <c r="AR58" s="110"/>
      <c r="AS58" s="110"/>
      <c r="AU58" s="111"/>
      <c r="AW58" s="112"/>
      <c r="AX58" s="112"/>
      <c r="AY58" s="112"/>
      <c r="AZ58" s="51"/>
      <c r="BA58" s="51"/>
      <c r="BK58" s="96"/>
      <c r="BL58" s="97"/>
      <c r="BM58" s="97"/>
      <c r="BN58" s="96"/>
      <c r="BO58" s="96"/>
      <c r="BP58" s="97"/>
      <c r="BQ58" s="97"/>
      <c r="BR58" s="97"/>
      <c r="BS58" s="97"/>
      <c r="BU58" s="113"/>
      <c r="BV58" s="113"/>
      <c r="BW58" s="113"/>
      <c r="BX58" s="113"/>
      <c r="BY58" s="113"/>
    </row>
    <row r="59" spans="1:77" ht="12" customHeight="1">
      <c r="A59" s="98" t="s">
        <v>123</v>
      </c>
      <c r="B59" s="99" t="s">
        <v>85</v>
      </c>
      <c r="C59" s="100">
        <f t="shared" si="5"/>
        <v>76440</v>
      </c>
      <c r="D59" s="101">
        <f t="shared" si="4"/>
        <v>21370</v>
      </c>
      <c r="E59" s="102">
        <v>6770</v>
      </c>
      <c r="F59" s="102">
        <v>11250</v>
      </c>
      <c r="G59" s="102">
        <v>5340</v>
      </c>
      <c r="H59" s="102">
        <v>320</v>
      </c>
      <c r="I59" s="102">
        <v>560</v>
      </c>
      <c r="J59" s="102">
        <v>2980</v>
      </c>
      <c r="K59" s="102">
        <v>230</v>
      </c>
      <c r="L59" s="102">
        <v>520</v>
      </c>
      <c r="M59" s="102">
        <v>1290</v>
      </c>
      <c r="N59" s="102">
        <v>100</v>
      </c>
      <c r="O59" s="102">
        <v>120</v>
      </c>
      <c r="P59" s="114">
        <v>-12690</v>
      </c>
      <c r="Q59" s="102">
        <v>3980</v>
      </c>
      <c r="R59" s="103">
        <v>-460</v>
      </c>
      <c r="S59" s="103">
        <v>-2500</v>
      </c>
      <c r="T59" s="103">
        <v>-1380</v>
      </c>
      <c r="U59" s="114">
        <v>-1920</v>
      </c>
      <c r="V59" s="102">
        <v>350</v>
      </c>
      <c r="W59" s="105">
        <v>5160</v>
      </c>
      <c r="X59" s="102">
        <v>1260</v>
      </c>
      <c r="Y59" s="102">
        <v>91</v>
      </c>
      <c r="Z59" s="106">
        <v>55070</v>
      </c>
      <c r="AA59" s="107"/>
      <c r="AB59" s="107">
        <v>158</v>
      </c>
      <c r="AC59" s="107">
        <v>9</v>
      </c>
      <c r="AD59" s="108">
        <v>0.7</v>
      </c>
      <c r="AE59" s="106">
        <v>81</v>
      </c>
      <c r="AF59" s="107">
        <v>1649</v>
      </c>
      <c r="AG59" s="107">
        <v>81</v>
      </c>
      <c r="AH59" s="107"/>
      <c r="AI59" s="109"/>
      <c r="AJ59" s="109"/>
      <c r="AK59" s="109"/>
      <c r="AL59" s="109"/>
      <c r="AM59" s="109"/>
      <c r="AN59" s="109"/>
      <c r="AO59" s="109"/>
      <c r="AQ59" s="110"/>
      <c r="AR59" s="110"/>
      <c r="AS59" s="110"/>
      <c r="AU59" s="111"/>
      <c r="AW59" s="112"/>
      <c r="AX59" s="112"/>
      <c r="AY59" s="112"/>
      <c r="AZ59" s="51"/>
      <c r="BA59" s="51"/>
      <c r="BK59" s="96"/>
      <c r="BL59" s="97"/>
      <c r="BM59" s="97"/>
      <c r="BN59" s="96"/>
      <c r="BO59" s="96"/>
      <c r="BP59" s="97"/>
      <c r="BQ59" s="97"/>
      <c r="BR59" s="97"/>
      <c r="BS59" s="97"/>
      <c r="BU59" s="113"/>
      <c r="BV59" s="113"/>
      <c r="BW59" s="113"/>
      <c r="BX59" s="113"/>
      <c r="BY59" s="113"/>
    </row>
    <row r="60" spans="1:77" ht="12" customHeight="1" outlineLevel="1">
      <c r="A60" s="49">
        <v>44593</v>
      </c>
      <c r="B60" s="49" t="s">
        <v>66</v>
      </c>
      <c r="C60" s="85">
        <f t="shared" si="5"/>
        <v>244880</v>
      </c>
      <c r="D60" s="115">
        <f t="shared" si="4"/>
        <v>155700</v>
      </c>
      <c r="E60" s="87">
        <v>24100</v>
      </c>
      <c r="F60" s="87">
        <v>27610</v>
      </c>
      <c r="G60" s="87">
        <v>13310</v>
      </c>
      <c r="H60" s="87">
        <v>760</v>
      </c>
      <c r="I60" s="87">
        <v>1330</v>
      </c>
      <c r="J60" s="87">
        <v>4530</v>
      </c>
      <c r="K60" s="87">
        <v>540</v>
      </c>
      <c r="L60" s="87">
        <v>1250</v>
      </c>
      <c r="M60" s="87">
        <v>0</v>
      </c>
      <c r="N60" s="87">
        <v>250</v>
      </c>
      <c r="O60" s="87">
        <v>740</v>
      </c>
      <c r="P60" s="88">
        <v>39580</v>
      </c>
      <c r="Q60" s="87">
        <v>11500</v>
      </c>
      <c r="R60" s="87">
        <v>3360</v>
      </c>
      <c r="S60" s="87">
        <v>2500</v>
      </c>
      <c r="T60" s="116">
        <v>-420</v>
      </c>
      <c r="U60" s="88">
        <v>9450</v>
      </c>
      <c r="V60" s="87">
        <v>0</v>
      </c>
      <c r="W60" s="89">
        <v>12310</v>
      </c>
      <c r="X60" s="87">
        <v>3000</v>
      </c>
      <c r="Y60" s="87">
        <v>0</v>
      </c>
      <c r="Z60" s="90">
        <v>89180</v>
      </c>
      <c r="AA60" s="117"/>
      <c r="AB60" s="92">
        <v>279</v>
      </c>
      <c r="AC60" s="92">
        <v>9</v>
      </c>
      <c r="AD60" s="93">
        <v>0</v>
      </c>
      <c r="AE60" s="118">
        <v>133</v>
      </c>
      <c r="AF60" s="92">
        <v>1782</v>
      </c>
      <c r="AG60" s="92">
        <v>133</v>
      </c>
      <c r="AH60" s="117"/>
      <c r="AI60" s="92">
        <v>141.86379928315412</v>
      </c>
      <c r="AJ60" s="92">
        <v>1050</v>
      </c>
      <c r="AK60" s="92" t="s">
        <v>86</v>
      </c>
      <c r="AL60" s="92">
        <v>670.52631578947364</v>
      </c>
      <c r="AM60" s="119"/>
      <c r="AN60" s="92">
        <v>104170</v>
      </c>
      <c r="AO60" s="92">
        <v>140710</v>
      </c>
      <c r="AQ60" s="120"/>
      <c r="AR60" s="120"/>
      <c r="AS60" s="120"/>
      <c r="AT60" s="121"/>
      <c r="AU60" s="122"/>
      <c r="AW60" s="112"/>
      <c r="AX60" s="112"/>
      <c r="AY60" s="112"/>
      <c r="AZ60" s="51"/>
      <c r="BA60" s="51"/>
      <c r="BK60" s="96"/>
      <c r="BL60" s="97"/>
      <c r="BM60" s="97"/>
      <c r="BN60" s="96"/>
      <c r="BO60" s="96"/>
      <c r="BP60" s="97"/>
      <c r="BQ60" s="97"/>
      <c r="BR60" s="97"/>
      <c r="BS60" s="97"/>
      <c r="BU60" s="113"/>
      <c r="BV60" s="113"/>
      <c r="BW60" s="113"/>
      <c r="BX60" s="113"/>
      <c r="BY60" s="113"/>
    </row>
    <row r="61" spans="1:77" ht="12" customHeight="1" outlineLevel="1">
      <c r="A61" s="49">
        <v>44621</v>
      </c>
      <c r="B61" s="49" t="s">
        <v>67</v>
      </c>
      <c r="C61" s="85">
        <f t="shared" si="5"/>
        <v>232600</v>
      </c>
      <c r="D61" s="86">
        <f t="shared" si="4"/>
        <v>158990</v>
      </c>
      <c r="E61" s="87">
        <v>26640</v>
      </c>
      <c r="F61" s="87">
        <v>27300</v>
      </c>
      <c r="G61" s="87">
        <v>13330</v>
      </c>
      <c r="H61" s="87">
        <v>760</v>
      </c>
      <c r="I61" s="87">
        <v>1330</v>
      </c>
      <c r="J61" s="87">
        <v>4890</v>
      </c>
      <c r="K61" s="87">
        <v>540</v>
      </c>
      <c r="L61" s="87">
        <v>1250</v>
      </c>
      <c r="M61" s="87">
        <v>0</v>
      </c>
      <c r="N61" s="87">
        <v>250</v>
      </c>
      <c r="O61" s="87">
        <v>700</v>
      </c>
      <c r="P61" s="88">
        <v>38320</v>
      </c>
      <c r="Q61" s="87">
        <v>12430</v>
      </c>
      <c r="R61" s="87">
        <v>3000</v>
      </c>
      <c r="S61" s="87"/>
      <c r="T61" s="87">
        <v>-180</v>
      </c>
      <c r="U61" s="88">
        <v>11550</v>
      </c>
      <c r="V61" s="87">
        <v>1440</v>
      </c>
      <c r="W61" s="89">
        <v>12310</v>
      </c>
      <c r="X61" s="87">
        <v>3000</v>
      </c>
      <c r="Y61" s="87">
        <v>130</v>
      </c>
      <c r="Z61" s="90">
        <v>73610</v>
      </c>
      <c r="AA61" s="123"/>
      <c r="AB61" s="92">
        <v>273</v>
      </c>
      <c r="AC61" s="92">
        <v>11</v>
      </c>
      <c r="AD61" s="93">
        <v>1</v>
      </c>
      <c r="AE61" s="118">
        <v>108</v>
      </c>
      <c r="AF61" s="92">
        <v>1890</v>
      </c>
      <c r="AG61" s="92">
        <v>108</v>
      </c>
      <c r="AH61" s="123"/>
      <c r="AI61" s="92">
        <v>140.36630036630038</v>
      </c>
      <c r="AJ61" s="92">
        <v>1050</v>
      </c>
      <c r="AK61" s="92">
        <v>130</v>
      </c>
      <c r="AL61" s="92">
        <v>681.57407407407402</v>
      </c>
      <c r="AM61" s="124"/>
      <c r="AN61" s="92">
        <v>108990</v>
      </c>
      <c r="AO61" s="92">
        <v>123610</v>
      </c>
      <c r="AQ61" s="110"/>
      <c r="AR61" s="110"/>
      <c r="AS61" s="110"/>
      <c r="AT61" s="125"/>
      <c r="AU61" s="111"/>
      <c r="AW61" s="112"/>
      <c r="AX61" s="112"/>
      <c r="AY61" s="112"/>
      <c r="AZ61" s="51"/>
      <c r="BA61" s="51"/>
      <c r="BK61" s="96"/>
      <c r="BL61" s="97"/>
      <c r="BM61" s="97"/>
      <c r="BN61" s="96"/>
      <c r="BO61" s="96"/>
      <c r="BP61" s="97"/>
      <c r="BQ61" s="97"/>
      <c r="BR61" s="97"/>
      <c r="BS61" s="97"/>
      <c r="BU61" s="113"/>
      <c r="BV61" s="113"/>
      <c r="BW61" s="113"/>
      <c r="BX61" s="113"/>
      <c r="BY61" s="113"/>
    </row>
    <row r="62" spans="1:77" ht="12" customHeight="1" outlineLevel="1">
      <c r="A62" s="49">
        <v>44652</v>
      </c>
      <c r="B62" s="49" t="s">
        <v>68</v>
      </c>
      <c r="C62" s="85">
        <f t="shared" si="5"/>
        <v>189760</v>
      </c>
      <c r="D62" s="86">
        <f t="shared" si="4"/>
        <v>144900</v>
      </c>
      <c r="E62" s="87">
        <v>26360</v>
      </c>
      <c r="F62" s="87">
        <v>28040</v>
      </c>
      <c r="G62" s="87">
        <v>13330</v>
      </c>
      <c r="H62" s="87">
        <v>760</v>
      </c>
      <c r="I62" s="87">
        <v>1330</v>
      </c>
      <c r="J62" s="87">
        <v>4480</v>
      </c>
      <c r="K62" s="87">
        <v>540</v>
      </c>
      <c r="L62" s="87">
        <v>1250</v>
      </c>
      <c r="M62" s="87">
        <v>0</v>
      </c>
      <c r="N62" s="87">
        <v>250</v>
      </c>
      <c r="O62" s="87">
        <v>700</v>
      </c>
      <c r="P62" s="88">
        <v>27840</v>
      </c>
      <c r="Q62" s="87">
        <v>10530</v>
      </c>
      <c r="R62" s="87">
        <v>2740</v>
      </c>
      <c r="S62" s="87"/>
      <c r="T62" s="87">
        <v>-190</v>
      </c>
      <c r="U62" s="88">
        <v>9450</v>
      </c>
      <c r="V62" s="87">
        <v>1670</v>
      </c>
      <c r="W62" s="89">
        <v>12310</v>
      </c>
      <c r="X62" s="87">
        <v>3000</v>
      </c>
      <c r="Y62" s="87">
        <v>510</v>
      </c>
      <c r="Z62" s="90">
        <v>44860</v>
      </c>
      <c r="AA62" s="123"/>
      <c r="AB62" s="92">
        <v>224</v>
      </c>
      <c r="AC62" s="92">
        <v>9</v>
      </c>
      <c r="AD62" s="93">
        <v>3.95</v>
      </c>
      <c r="AE62" s="118">
        <v>66</v>
      </c>
      <c r="AF62" s="92">
        <v>1956</v>
      </c>
      <c r="AG62" s="92">
        <v>66</v>
      </c>
      <c r="AH62" s="123"/>
      <c r="AI62" s="92">
        <v>124.28571428571429</v>
      </c>
      <c r="AJ62" s="92">
        <v>1050</v>
      </c>
      <c r="AK62" s="92">
        <v>129.1139240506329</v>
      </c>
      <c r="AL62" s="92">
        <v>679.69696969696975</v>
      </c>
      <c r="AM62" s="124"/>
      <c r="AN62" s="92">
        <v>107100</v>
      </c>
      <c r="AO62" s="92">
        <v>82660</v>
      </c>
      <c r="AQ62" s="126">
        <v>19350</v>
      </c>
      <c r="AR62" s="126"/>
      <c r="AS62" s="126"/>
      <c r="AT62" s="125"/>
      <c r="AU62" s="111"/>
      <c r="AW62" s="112"/>
      <c r="AX62" s="112"/>
      <c r="AY62" s="112"/>
      <c r="AZ62" s="51"/>
      <c r="BA62" s="51"/>
      <c r="BK62" s="96"/>
      <c r="BL62" s="97"/>
      <c r="BM62" s="97"/>
      <c r="BN62" s="96"/>
      <c r="BO62" s="96"/>
      <c r="BP62" s="97"/>
      <c r="BQ62" s="97"/>
      <c r="BR62" s="97"/>
      <c r="BS62" s="97"/>
      <c r="BU62" s="113"/>
      <c r="BV62" s="113"/>
      <c r="BW62" s="113"/>
      <c r="BX62" s="113"/>
      <c r="BY62" s="113"/>
    </row>
    <row r="63" spans="1:77" ht="12" customHeight="1" outlineLevel="1">
      <c r="A63" s="49">
        <v>44682</v>
      </c>
      <c r="B63" s="49" t="s">
        <v>69</v>
      </c>
      <c r="C63" s="85">
        <f t="shared" si="5"/>
        <v>153270</v>
      </c>
      <c r="D63" s="86">
        <f t="shared" si="4"/>
        <v>140370</v>
      </c>
      <c r="E63" s="87">
        <v>26500</v>
      </c>
      <c r="F63" s="87">
        <v>28090</v>
      </c>
      <c r="G63" s="87">
        <v>13330</v>
      </c>
      <c r="H63" s="87">
        <v>760</v>
      </c>
      <c r="I63" s="87">
        <v>1330</v>
      </c>
      <c r="J63" s="87">
        <v>4380</v>
      </c>
      <c r="K63" s="87">
        <v>540</v>
      </c>
      <c r="L63" s="87">
        <v>1600</v>
      </c>
      <c r="M63" s="87">
        <v>0</v>
      </c>
      <c r="N63" s="87">
        <v>250</v>
      </c>
      <c r="O63" s="87">
        <v>890</v>
      </c>
      <c r="P63" s="88">
        <v>24090</v>
      </c>
      <c r="Q63" s="87">
        <v>8170</v>
      </c>
      <c r="R63" s="87">
        <v>3190</v>
      </c>
      <c r="S63" s="127"/>
      <c r="T63" s="87">
        <v>-190</v>
      </c>
      <c r="U63" s="88">
        <v>10500</v>
      </c>
      <c r="V63" s="87">
        <v>1450</v>
      </c>
      <c r="W63" s="89">
        <v>12310</v>
      </c>
      <c r="X63" s="87">
        <v>3000</v>
      </c>
      <c r="Y63" s="87">
        <v>180</v>
      </c>
      <c r="Z63" s="90">
        <v>12900</v>
      </c>
      <c r="AA63" s="123"/>
      <c r="AB63" s="92">
        <v>204</v>
      </c>
      <c r="AC63" s="92">
        <v>10</v>
      </c>
      <c r="AD63" s="93">
        <v>1.45</v>
      </c>
      <c r="AE63" s="118">
        <v>17</v>
      </c>
      <c r="AF63" s="92">
        <v>1973</v>
      </c>
      <c r="AG63" s="92">
        <v>17</v>
      </c>
      <c r="AH63" s="123"/>
      <c r="AI63" s="92">
        <v>118.08823529411765</v>
      </c>
      <c r="AJ63" s="92">
        <v>1050</v>
      </c>
      <c r="AK63" s="92">
        <v>124.13793103448276</v>
      </c>
      <c r="AL63" s="92">
        <v>758.82352941176475</v>
      </c>
      <c r="AM63" s="124"/>
      <c r="AN63" s="92">
        <v>105600</v>
      </c>
      <c r="AO63" s="92">
        <v>47670</v>
      </c>
      <c r="AQ63" s="126">
        <v>20000</v>
      </c>
      <c r="AR63" s="126"/>
      <c r="AS63" s="126"/>
      <c r="AT63" s="125"/>
      <c r="AU63" s="111"/>
      <c r="AW63" s="112"/>
      <c r="AX63" s="112"/>
      <c r="AY63" s="112"/>
      <c r="AZ63" s="51"/>
      <c r="BA63" s="51"/>
      <c r="BK63" s="96"/>
      <c r="BL63" s="97"/>
      <c r="BM63" s="97"/>
      <c r="BN63" s="96"/>
      <c r="BO63" s="96"/>
      <c r="BP63" s="97"/>
      <c r="BQ63" s="97"/>
      <c r="BR63" s="97"/>
      <c r="BS63" s="97"/>
      <c r="BU63" s="113"/>
      <c r="BV63" s="113"/>
      <c r="BW63" s="113"/>
      <c r="BX63" s="113"/>
      <c r="BY63" s="113"/>
    </row>
    <row r="64" spans="1:77" ht="12" customHeight="1" outlineLevel="1">
      <c r="A64" s="49">
        <v>44713</v>
      </c>
      <c r="B64" s="49" t="s">
        <v>70</v>
      </c>
      <c r="C64" s="85">
        <f t="shared" si="5"/>
        <v>137000</v>
      </c>
      <c r="D64" s="86">
        <f t="shared" si="4"/>
        <v>127730</v>
      </c>
      <c r="E64" s="87">
        <v>26020</v>
      </c>
      <c r="F64" s="87">
        <v>22710</v>
      </c>
      <c r="G64" s="87">
        <v>13330</v>
      </c>
      <c r="H64" s="87">
        <v>760</v>
      </c>
      <c r="I64" s="87">
        <v>1330</v>
      </c>
      <c r="J64" s="87">
        <v>4460</v>
      </c>
      <c r="K64" s="87">
        <v>540</v>
      </c>
      <c r="L64" s="87">
        <v>1600</v>
      </c>
      <c r="M64" s="87">
        <v>0</v>
      </c>
      <c r="N64" s="87">
        <v>250</v>
      </c>
      <c r="O64" s="87">
        <v>900</v>
      </c>
      <c r="P64" s="88">
        <v>18280</v>
      </c>
      <c r="Q64" s="87">
        <v>7940</v>
      </c>
      <c r="R64" s="87">
        <v>3250</v>
      </c>
      <c r="S64" s="127"/>
      <c r="T64" s="127">
        <v>-190</v>
      </c>
      <c r="U64" s="88">
        <v>9450</v>
      </c>
      <c r="V64" s="87">
        <v>1540</v>
      </c>
      <c r="W64" s="89">
        <v>12310</v>
      </c>
      <c r="X64" s="87">
        <v>3000</v>
      </c>
      <c r="Y64" s="87">
        <v>250</v>
      </c>
      <c r="Z64" s="90">
        <v>9270</v>
      </c>
      <c r="AA64" s="123"/>
      <c r="AB64" s="92">
        <v>173</v>
      </c>
      <c r="AC64" s="92">
        <v>9</v>
      </c>
      <c r="AD64" s="128">
        <v>2</v>
      </c>
      <c r="AE64" s="118">
        <v>11</v>
      </c>
      <c r="AF64" s="92">
        <v>1984</v>
      </c>
      <c r="AG64" s="92">
        <v>11</v>
      </c>
      <c r="AH64" s="123"/>
      <c r="AI64" s="92">
        <v>105.66473988439306</v>
      </c>
      <c r="AJ64" s="92">
        <v>1050</v>
      </c>
      <c r="AK64" s="92">
        <v>125</v>
      </c>
      <c r="AL64" s="92">
        <v>842.72727272727275</v>
      </c>
      <c r="AM64" s="124"/>
      <c r="AN64" s="92">
        <v>99750</v>
      </c>
      <c r="AO64" s="92">
        <v>37250</v>
      </c>
      <c r="AQ64" s="126">
        <v>20000</v>
      </c>
      <c r="AR64" s="126"/>
      <c r="AS64" s="126"/>
      <c r="AT64" s="125"/>
      <c r="AU64" s="111"/>
      <c r="AW64" s="112"/>
      <c r="AX64" s="112"/>
      <c r="AY64" s="112"/>
      <c r="AZ64" s="51"/>
      <c r="BA64" s="51"/>
      <c r="BK64" s="96"/>
      <c r="BL64" s="97"/>
      <c r="BM64" s="97"/>
      <c r="BN64" s="96"/>
      <c r="BO64" s="96"/>
      <c r="BP64" s="97"/>
      <c r="BQ64" s="97"/>
      <c r="BR64" s="97"/>
      <c r="BS64" s="97"/>
      <c r="BU64" s="113"/>
      <c r="BV64" s="113"/>
      <c r="BW64" s="113"/>
      <c r="BX64" s="113"/>
      <c r="BY64" s="113"/>
    </row>
    <row r="65" spans="1:77" ht="12" customHeight="1" outlineLevel="1">
      <c r="A65" s="49">
        <v>44743</v>
      </c>
      <c r="B65" s="49" t="s">
        <v>71</v>
      </c>
      <c r="C65" s="85">
        <f t="shared" si="5"/>
        <v>134210</v>
      </c>
      <c r="D65" s="86">
        <f t="shared" si="4"/>
        <v>131140</v>
      </c>
      <c r="E65" s="87">
        <v>26150</v>
      </c>
      <c r="F65" s="87">
        <v>22710</v>
      </c>
      <c r="G65" s="87">
        <v>13330</v>
      </c>
      <c r="H65" s="87">
        <v>760</v>
      </c>
      <c r="I65" s="87">
        <v>1330</v>
      </c>
      <c r="J65" s="87">
        <v>4370</v>
      </c>
      <c r="K65" s="87">
        <v>540</v>
      </c>
      <c r="L65" s="87">
        <v>1600</v>
      </c>
      <c r="M65" s="87">
        <v>0</v>
      </c>
      <c r="N65" s="87">
        <v>250</v>
      </c>
      <c r="O65" s="87">
        <v>900</v>
      </c>
      <c r="P65" s="88">
        <v>19480</v>
      </c>
      <c r="Q65" s="87">
        <v>9020</v>
      </c>
      <c r="R65" s="87">
        <v>3490</v>
      </c>
      <c r="S65" s="87"/>
      <c r="T65" s="87">
        <v>-190</v>
      </c>
      <c r="U65" s="88">
        <v>9450</v>
      </c>
      <c r="V65" s="87">
        <v>2030</v>
      </c>
      <c r="W65" s="89">
        <v>12310</v>
      </c>
      <c r="X65" s="87">
        <v>3000</v>
      </c>
      <c r="Y65" s="87">
        <v>610</v>
      </c>
      <c r="Z65" s="90">
        <v>3070</v>
      </c>
      <c r="AA65" s="123"/>
      <c r="AB65" s="92">
        <v>183</v>
      </c>
      <c r="AC65" s="92">
        <v>9</v>
      </c>
      <c r="AD65" s="128">
        <v>4.8</v>
      </c>
      <c r="AE65" s="118">
        <v>4</v>
      </c>
      <c r="AF65" s="92">
        <v>1988</v>
      </c>
      <c r="AG65" s="92">
        <v>4</v>
      </c>
      <c r="AH65" s="123"/>
      <c r="AI65" s="92">
        <v>106.44808743169399</v>
      </c>
      <c r="AJ65" s="92">
        <v>1050</v>
      </c>
      <c r="AK65" s="92">
        <v>127.08333333333334</v>
      </c>
      <c r="AL65" s="92">
        <v>767.5</v>
      </c>
      <c r="AM65" s="124"/>
      <c r="AN65" s="92">
        <v>101600</v>
      </c>
      <c r="AO65" s="92">
        <v>32610</v>
      </c>
      <c r="AQ65" s="126">
        <v>20000</v>
      </c>
      <c r="AR65" s="126"/>
      <c r="AS65" s="126"/>
      <c r="AT65" s="125"/>
      <c r="AU65" s="111"/>
      <c r="AW65" s="112"/>
      <c r="AX65" s="112"/>
      <c r="AY65" s="112"/>
      <c r="AZ65" s="51"/>
      <c r="BA65" s="51"/>
      <c r="BK65" s="96"/>
      <c r="BL65" s="97"/>
      <c r="BM65" s="97"/>
      <c r="BN65" s="96"/>
      <c r="BO65" s="96"/>
      <c r="BP65" s="97"/>
      <c r="BQ65" s="97"/>
      <c r="BR65" s="97"/>
      <c r="BS65" s="97"/>
      <c r="BU65" s="113"/>
      <c r="BV65" s="113"/>
      <c r="BW65" s="113"/>
      <c r="BX65" s="113"/>
      <c r="BY65" s="113"/>
    </row>
    <row r="66" spans="1:77" ht="12" customHeight="1" outlineLevel="1">
      <c r="A66" s="49">
        <v>44774</v>
      </c>
      <c r="B66" s="49" t="s">
        <v>72</v>
      </c>
      <c r="C66" s="85">
        <f t="shared" si="5"/>
        <v>149570</v>
      </c>
      <c r="D66" s="86">
        <f t="shared" si="4"/>
        <v>145640</v>
      </c>
      <c r="E66" s="87">
        <v>26710</v>
      </c>
      <c r="F66" s="87">
        <v>22380</v>
      </c>
      <c r="G66" s="87">
        <v>13340</v>
      </c>
      <c r="H66" s="87">
        <v>760</v>
      </c>
      <c r="I66" s="87">
        <v>1330</v>
      </c>
      <c r="J66" s="87">
        <v>5000</v>
      </c>
      <c r="K66" s="87">
        <v>540</v>
      </c>
      <c r="L66" s="87">
        <v>1700</v>
      </c>
      <c r="M66" s="87">
        <v>0</v>
      </c>
      <c r="N66" s="87">
        <v>250</v>
      </c>
      <c r="O66" s="87">
        <v>890</v>
      </c>
      <c r="P66" s="88">
        <v>31000</v>
      </c>
      <c r="Q66" s="87">
        <v>12730</v>
      </c>
      <c r="R66" s="87">
        <v>3610</v>
      </c>
      <c r="S66" s="127"/>
      <c r="T66" s="87">
        <v>0</v>
      </c>
      <c r="U66" s="88">
        <v>8400</v>
      </c>
      <c r="V66" s="87">
        <v>1600</v>
      </c>
      <c r="W66" s="89">
        <v>12310</v>
      </c>
      <c r="X66" s="87">
        <v>3000</v>
      </c>
      <c r="Y66" s="87">
        <v>90</v>
      </c>
      <c r="Z66" s="90">
        <v>3930</v>
      </c>
      <c r="AA66" s="123"/>
      <c r="AB66" s="92">
        <v>228</v>
      </c>
      <c r="AC66" s="92">
        <v>8</v>
      </c>
      <c r="AD66" s="128">
        <v>0.7</v>
      </c>
      <c r="AE66" s="118">
        <v>4</v>
      </c>
      <c r="AF66" s="92">
        <v>1992</v>
      </c>
      <c r="AG66" s="92">
        <v>4</v>
      </c>
      <c r="AH66" s="123"/>
      <c r="AI66" s="92">
        <v>135.96491228070175</v>
      </c>
      <c r="AJ66" s="92">
        <v>1050</v>
      </c>
      <c r="AK66" s="92">
        <v>128.57142857142858</v>
      </c>
      <c r="AL66" s="92">
        <v>982.5</v>
      </c>
      <c r="AM66" s="124"/>
      <c r="AN66" s="92">
        <v>106150</v>
      </c>
      <c r="AO66" s="92">
        <v>43420</v>
      </c>
      <c r="AQ66" s="126">
        <v>20000</v>
      </c>
      <c r="AR66" s="126"/>
      <c r="AS66" s="126"/>
      <c r="AT66" s="125"/>
      <c r="AU66" s="111"/>
      <c r="AW66" s="112"/>
      <c r="AX66" s="112"/>
      <c r="AY66" s="112"/>
      <c r="AZ66" s="51"/>
      <c r="BA66" s="51"/>
      <c r="BK66" s="96"/>
      <c r="BL66" s="97"/>
      <c r="BM66" s="97"/>
      <c r="BN66" s="96"/>
      <c r="BO66" s="96"/>
      <c r="BP66" s="97"/>
      <c r="BQ66" s="97"/>
      <c r="BR66" s="97"/>
      <c r="BS66" s="97"/>
      <c r="BU66" s="113"/>
      <c r="BV66" s="113"/>
      <c r="BW66" s="113"/>
      <c r="BX66" s="113"/>
      <c r="BY66" s="113"/>
    </row>
    <row r="67" spans="1:77" ht="12" customHeight="1" outlineLevel="1">
      <c r="A67" s="49">
        <v>44805</v>
      </c>
      <c r="B67" s="49" t="s">
        <v>73</v>
      </c>
      <c r="C67" s="85">
        <f t="shared" si="5"/>
        <v>155680</v>
      </c>
      <c r="D67" s="86">
        <f t="shared" si="4"/>
        <v>151740</v>
      </c>
      <c r="E67" s="87">
        <v>27290</v>
      </c>
      <c r="F67" s="87">
        <v>22450</v>
      </c>
      <c r="G67" s="87">
        <v>13350</v>
      </c>
      <c r="H67" s="87">
        <v>760</v>
      </c>
      <c r="I67" s="87">
        <v>1330</v>
      </c>
      <c r="J67" s="87">
        <v>3060</v>
      </c>
      <c r="K67" s="87">
        <v>540</v>
      </c>
      <c r="L67" s="87">
        <v>1600</v>
      </c>
      <c r="M67" s="87">
        <v>0</v>
      </c>
      <c r="N67" s="87">
        <v>250</v>
      </c>
      <c r="O67" s="87">
        <v>710</v>
      </c>
      <c r="P67" s="88">
        <v>38550</v>
      </c>
      <c r="Q67" s="87">
        <v>13760</v>
      </c>
      <c r="R67" s="87">
        <v>3890</v>
      </c>
      <c r="S67" s="87"/>
      <c r="T67" s="87">
        <v>0</v>
      </c>
      <c r="U67" s="88">
        <v>7350</v>
      </c>
      <c r="V67" s="87">
        <v>1380</v>
      </c>
      <c r="W67" s="89">
        <v>12310</v>
      </c>
      <c r="X67" s="87">
        <v>3000</v>
      </c>
      <c r="Y67" s="87">
        <v>160</v>
      </c>
      <c r="Z67" s="90">
        <v>3940</v>
      </c>
      <c r="AA67" s="129"/>
      <c r="AB67" s="92">
        <v>304</v>
      </c>
      <c r="AC67" s="92">
        <v>7</v>
      </c>
      <c r="AD67" s="128">
        <v>1.3</v>
      </c>
      <c r="AE67" s="118">
        <v>4</v>
      </c>
      <c r="AF67" s="92">
        <v>1996</v>
      </c>
      <c r="AG67" s="92">
        <v>4</v>
      </c>
      <c r="AH67" s="129"/>
      <c r="AI67" s="92">
        <v>126.80921052631579</v>
      </c>
      <c r="AJ67" s="92">
        <v>1050</v>
      </c>
      <c r="AK67" s="92">
        <v>123.07692307692307</v>
      </c>
      <c r="AL67" s="92">
        <v>985</v>
      </c>
      <c r="AM67" s="92"/>
      <c r="AN67" s="92">
        <v>105680</v>
      </c>
      <c r="AO67" s="92">
        <v>50000</v>
      </c>
      <c r="AP67" s="130"/>
      <c r="AQ67" s="126">
        <v>20000</v>
      </c>
      <c r="AR67" s="126">
        <v>7260</v>
      </c>
      <c r="AS67" s="126"/>
      <c r="AT67" s="125"/>
      <c r="AU67" s="111"/>
      <c r="AW67" s="112"/>
      <c r="AX67" s="112"/>
      <c r="AY67" s="112"/>
      <c r="AZ67" s="51"/>
      <c r="BA67" s="51"/>
      <c r="BK67" s="96"/>
      <c r="BL67" s="97"/>
      <c r="BM67" s="97"/>
      <c r="BN67" s="96"/>
      <c r="BO67" s="96"/>
      <c r="BP67" s="97"/>
      <c r="BQ67" s="97"/>
      <c r="BR67" s="97"/>
      <c r="BS67" s="97"/>
      <c r="BU67" s="113"/>
      <c r="BV67" s="113"/>
      <c r="BW67" s="113"/>
      <c r="BX67" s="113"/>
      <c r="BY67" s="113"/>
    </row>
    <row r="68" spans="1:77" ht="12" customHeight="1" outlineLevel="1">
      <c r="A68" s="49">
        <v>44835</v>
      </c>
      <c r="B68" s="49" t="s">
        <v>74</v>
      </c>
      <c r="C68" s="85">
        <f t="shared" si="5"/>
        <v>151930</v>
      </c>
      <c r="D68" s="86">
        <f t="shared" si="4"/>
        <v>147080</v>
      </c>
      <c r="E68" s="87">
        <v>27610</v>
      </c>
      <c r="F68" s="87">
        <v>22740</v>
      </c>
      <c r="G68" s="87">
        <v>13340</v>
      </c>
      <c r="H68" s="87">
        <v>760</v>
      </c>
      <c r="I68" s="87">
        <v>1330</v>
      </c>
      <c r="J68" s="87">
        <v>3610</v>
      </c>
      <c r="K68" s="87">
        <v>540</v>
      </c>
      <c r="L68" s="87">
        <v>1600</v>
      </c>
      <c r="M68" s="87">
        <v>0</v>
      </c>
      <c r="N68" s="87">
        <v>250</v>
      </c>
      <c r="O68" s="87">
        <v>890</v>
      </c>
      <c r="P68" s="88">
        <v>33370</v>
      </c>
      <c r="Q68" s="87">
        <v>12270</v>
      </c>
      <c r="R68" s="87">
        <v>3730</v>
      </c>
      <c r="S68" s="87"/>
      <c r="T68" s="87">
        <v>0</v>
      </c>
      <c r="U68" s="88">
        <v>8400</v>
      </c>
      <c r="V68" s="87">
        <v>1330</v>
      </c>
      <c r="W68" s="89">
        <v>12310</v>
      </c>
      <c r="X68" s="87">
        <v>3000</v>
      </c>
      <c r="Y68" s="87">
        <v>0</v>
      </c>
      <c r="Z68" s="90">
        <v>4850</v>
      </c>
      <c r="AA68" s="129"/>
      <c r="AB68" s="92">
        <v>257</v>
      </c>
      <c r="AC68" s="92">
        <v>8</v>
      </c>
      <c r="AD68" s="128">
        <v>0</v>
      </c>
      <c r="AE68" s="118">
        <v>5</v>
      </c>
      <c r="AF68" s="92">
        <v>2001</v>
      </c>
      <c r="AG68" s="92">
        <v>5</v>
      </c>
      <c r="AH68" s="123"/>
      <c r="AI68" s="92">
        <v>129.8443579766537</v>
      </c>
      <c r="AJ68" s="92">
        <v>1050</v>
      </c>
      <c r="AK68" s="92" t="s">
        <v>86</v>
      </c>
      <c r="AL68" s="92">
        <v>970</v>
      </c>
      <c r="AM68" s="124"/>
      <c r="AN68" s="92">
        <v>105310</v>
      </c>
      <c r="AO68" s="92">
        <v>46620</v>
      </c>
      <c r="AQ68" s="126">
        <v>20000</v>
      </c>
      <c r="AR68" s="126">
        <v>25000</v>
      </c>
      <c r="AS68" s="126"/>
      <c r="AT68" s="125"/>
      <c r="AU68" s="111"/>
      <c r="AW68" s="112"/>
      <c r="AX68" s="112"/>
      <c r="AY68" s="112"/>
      <c r="AZ68" s="51"/>
      <c r="BA68" s="51"/>
      <c r="BK68" s="96"/>
      <c r="BL68" s="97"/>
      <c r="BM68" s="97"/>
      <c r="BN68" s="96"/>
      <c r="BO68" s="96"/>
      <c r="BP68" s="97"/>
      <c r="BQ68" s="97"/>
      <c r="BR68" s="97"/>
      <c r="BS68" s="97"/>
      <c r="BU68" s="113"/>
      <c r="BV68" s="113"/>
      <c r="BW68" s="113"/>
      <c r="BX68" s="113"/>
      <c r="BY68" s="113"/>
    </row>
    <row r="69" spans="1:77" ht="12" customHeight="1" outlineLevel="1">
      <c r="A69" s="49">
        <v>44866</v>
      </c>
      <c r="B69" s="49" t="s">
        <v>63</v>
      </c>
      <c r="C69" s="85">
        <f t="shared" si="5"/>
        <v>148410</v>
      </c>
      <c r="D69" s="86">
        <f t="shared" si="4"/>
        <v>130650</v>
      </c>
      <c r="E69" s="87">
        <v>28010</v>
      </c>
      <c r="F69" s="87">
        <v>21370</v>
      </c>
      <c r="G69" s="87">
        <v>13340</v>
      </c>
      <c r="H69" s="87">
        <v>440</v>
      </c>
      <c r="I69" s="87">
        <v>1330</v>
      </c>
      <c r="J69" s="87">
        <v>3460</v>
      </c>
      <c r="K69" s="87">
        <v>540</v>
      </c>
      <c r="L69" s="87">
        <v>1600</v>
      </c>
      <c r="M69" s="87">
        <v>0</v>
      </c>
      <c r="N69" s="87">
        <v>250</v>
      </c>
      <c r="O69" s="87">
        <v>710</v>
      </c>
      <c r="P69" s="88">
        <v>23590</v>
      </c>
      <c r="Q69" s="87">
        <v>7920</v>
      </c>
      <c r="R69" s="87">
        <v>3370</v>
      </c>
      <c r="S69" s="127"/>
      <c r="T69" s="87">
        <v>0</v>
      </c>
      <c r="U69" s="88">
        <v>8400</v>
      </c>
      <c r="V69" s="87">
        <v>720</v>
      </c>
      <c r="W69" s="89">
        <v>12310</v>
      </c>
      <c r="X69" s="87">
        <v>3000</v>
      </c>
      <c r="Y69" s="87">
        <v>290</v>
      </c>
      <c r="Z69" s="90">
        <v>17760</v>
      </c>
      <c r="AA69" s="123"/>
      <c r="AB69" s="92">
        <v>186</v>
      </c>
      <c r="AC69" s="92">
        <v>8</v>
      </c>
      <c r="AD69" s="128">
        <v>2.25</v>
      </c>
      <c r="AE69" s="118">
        <v>18</v>
      </c>
      <c r="AF69" s="92">
        <v>2019</v>
      </c>
      <c r="AG69" s="92">
        <v>18</v>
      </c>
      <c r="AH69" s="123"/>
      <c r="AI69" s="92">
        <v>126.82795698924731</v>
      </c>
      <c r="AJ69" s="92">
        <v>1050</v>
      </c>
      <c r="AK69" s="92">
        <v>128.88888888888889</v>
      </c>
      <c r="AL69" s="92">
        <v>986.66666666666663</v>
      </c>
      <c r="AM69" s="124"/>
      <c r="AN69" s="92">
        <v>98370</v>
      </c>
      <c r="AO69" s="92">
        <v>50040</v>
      </c>
      <c r="AQ69" s="126">
        <v>18710</v>
      </c>
      <c r="AR69" s="126">
        <v>25000</v>
      </c>
      <c r="AS69" s="126"/>
      <c r="AT69" s="125"/>
      <c r="AU69" s="111"/>
      <c r="AW69" s="112"/>
      <c r="AX69" s="112"/>
      <c r="AY69" s="112"/>
      <c r="AZ69" s="51"/>
      <c r="BA69" s="51"/>
      <c r="BK69" s="96"/>
      <c r="BL69" s="97"/>
      <c r="BM69" s="97"/>
      <c r="BN69" s="96"/>
      <c r="BO69" s="96"/>
      <c r="BP69" s="97"/>
      <c r="BQ69" s="97"/>
      <c r="BR69" s="97"/>
      <c r="BS69" s="97"/>
      <c r="BU69" s="113"/>
      <c r="BV69" s="113"/>
      <c r="BW69" s="113"/>
      <c r="BX69" s="113"/>
      <c r="BY69" s="113"/>
    </row>
    <row r="70" spans="1:77" ht="12" customHeight="1" outlineLevel="1">
      <c r="A70" s="52">
        <v>44896</v>
      </c>
      <c r="B70" s="52" t="s">
        <v>64</v>
      </c>
      <c r="C70" s="131">
        <f t="shared" si="5"/>
        <v>189100</v>
      </c>
      <c r="D70" s="132">
        <f t="shared" si="4"/>
        <v>138100</v>
      </c>
      <c r="E70" s="133">
        <v>27820</v>
      </c>
      <c r="F70" s="133">
        <v>22260</v>
      </c>
      <c r="G70" s="133">
        <v>13340</v>
      </c>
      <c r="H70" s="133">
        <v>440</v>
      </c>
      <c r="I70" s="133">
        <v>1330</v>
      </c>
      <c r="J70" s="133">
        <v>2930</v>
      </c>
      <c r="K70" s="133">
        <v>540</v>
      </c>
      <c r="L70" s="133">
        <v>1600</v>
      </c>
      <c r="M70" s="133">
        <v>0</v>
      </c>
      <c r="N70" s="133">
        <v>270</v>
      </c>
      <c r="O70" s="133">
        <v>1100</v>
      </c>
      <c r="P70" s="134">
        <v>25410</v>
      </c>
      <c r="Q70" s="133">
        <v>10570</v>
      </c>
      <c r="R70" s="133">
        <v>3300</v>
      </c>
      <c r="S70" s="133"/>
      <c r="T70" s="133">
        <v>710</v>
      </c>
      <c r="U70" s="134">
        <v>9450</v>
      </c>
      <c r="V70" s="133">
        <v>1720</v>
      </c>
      <c r="W70" s="135">
        <v>12310</v>
      </c>
      <c r="X70" s="133">
        <v>3000</v>
      </c>
      <c r="Y70" s="133">
        <v>0</v>
      </c>
      <c r="Z70" s="136">
        <v>51000</v>
      </c>
      <c r="AA70" s="137"/>
      <c r="AB70" s="138">
        <v>190</v>
      </c>
      <c r="AC70" s="138">
        <v>9</v>
      </c>
      <c r="AD70" s="139">
        <v>0</v>
      </c>
      <c r="AE70" s="140">
        <v>54</v>
      </c>
      <c r="AF70" s="138">
        <v>2073</v>
      </c>
      <c r="AG70" s="138">
        <v>54</v>
      </c>
      <c r="AH70" s="137"/>
      <c r="AI70" s="138">
        <v>133.73684210526315</v>
      </c>
      <c r="AJ70" s="138">
        <v>1050</v>
      </c>
      <c r="AK70" s="138" t="s">
        <v>86</v>
      </c>
      <c r="AL70" s="138">
        <v>944.44444444444446</v>
      </c>
      <c r="AM70" s="137"/>
      <c r="AN70" s="138">
        <v>103240</v>
      </c>
      <c r="AO70" s="138">
        <v>85860</v>
      </c>
      <c r="AP70" s="40"/>
      <c r="AQ70" s="141"/>
      <c r="AR70" s="141">
        <v>20830</v>
      </c>
      <c r="AS70" s="141"/>
      <c r="AT70" s="142"/>
      <c r="AU70" s="143"/>
      <c r="AV70" s="45"/>
      <c r="AW70" s="144"/>
      <c r="AX70" s="144"/>
      <c r="AY70" s="144"/>
      <c r="AZ70" s="57"/>
      <c r="BA70" s="51"/>
      <c r="BK70" s="96"/>
      <c r="BL70" s="97"/>
      <c r="BM70" s="97"/>
      <c r="BN70" s="96"/>
      <c r="BO70" s="96"/>
      <c r="BP70" s="97"/>
      <c r="BQ70" s="97"/>
      <c r="BR70" s="97"/>
      <c r="BS70" s="97"/>
      <c r="BU70" s="113"/>
      <c r="BV70" s="113"/>
      <c r="BW70" s="113"/>
      <c r="BX70" s="113"/>
      <c r="BY70" s="113"/>
    </row>
    <row r="71" spans="1:77" ht="12" customHeight="1" outlineLevel="1">
      <c r="A71" s="49">
        <v>44927</v>
      </c>
      <c r="B71" s="49" t="s">
        <v>65</v>
      </c>
      <c r="C71" s="85">
        <f t="shared" si="5"/>
        <v>279230</v>
      </c>
      <c r="D71" s="86">
        <f t="shared" si="4"/>
        <v>136080</v>
      </c>
      <c r="E71" s="87">
        <v>28210</v>
      </c>
      <c r="F71" s="87">
        <v>22690</v>
      </c>
      <c r="G71" s="87">
        <v>13280</v>
      </c>
      <c r="H71" s="87">
        <v>440</v>
      </c>
      <c r="I71" s="87">
        <v>1330</v>
      </c>
      <c r="J71" s="87">
        <v>3300</v>
      </c>
      <c r="K71" s="87">
        <v>540</v>
      </c>
      <c r="L71" s="87">
        <v>1600</v>
      </c>
      <c r="M71" s="87">
        <v>0</v>
      </c>
      <c r="N71" s="87">
        <v>270</v>
      </c>
      <c r="O71" s="87">
        <v>900</v>
      </c>
      <c r="P71" s="88">
        <v>23490</v>
      </c>
      <c r="Q71" s="87">
        <v>12890</v>
      </c>
      <c r="R71" s="87">
        <v>3150</v>
      </c>
      <c r="S71" s="87"/>
      <c r="T71" s="87">
        <v>0</v>
      </c>
      <c r="U71" s="88">
        <v>7350</v>
      </c>
      <c r="V71" s="87">
        <v>1260</v>
      </c>
      <c r="W71" s="89">
        <v>12310</v>
      </c>
      <c r="X71" s="87">
        <v>3000</v>
      </c>
      <c r="Y71" s="87">
        <v>70</v>
      </c>
      <c r="Z71" s="90">
        <v>143150</v>
      </c>
      <c r="AA71" s="92"/>
      <c r="AB71" s="92">
        <v>175</v>
      </c>
      <c r="AC71" s="92">
        <v>7</v>
      </c>
      <c r="AD71" s="128">
        <v>0.55000000000000004</v>
      </c>
      <c r="AE71" s="118">
        <v>154</v>
      </c>
      <c r="AF71" s="92">
        <v>2227</v>
      </c>
      <c r="AG71" s="92">
        <v>154</v>
      </c>
      <c r="AH71" s="92"/>
      <c r="AI71" s="92">
        <v>134.22857142857143</v>
      </c>
      <c r="AJ71" s="92">
        <v>1050</v>
      </c>
      <c r="AK71" s="92">
        <v>127.27272727272727</v>
      </c>
      <c r="AL71" s="92">
        <v>929.5454545454545</v>
      </c>
      <c r="AM71" s="92"/>
      <c r="AN71" s="92">
        <v>105170</v>
      </c>
      <c r="AO71" s="92">
        <v>174060</v>
      </c>
      <c r="AQ71" s="145"/>
      <c r="AR71" s="145"/>
      <c r="AS71" s="145"/>
      <c r="AT71" s="146">
        <v>-7.0180797151075225E-2</v>
      </c>
      <c r="AU71" s="146">
        <v>9.375E-2</v>
      </c>
      <c r="AV71" s="146">
        <v>-1.6528925619834722E-2</v>
      </c>
      <c r="AW71" s="146">
        <v>0.36722683526751065</v>
      </c>
      <c r="AX71" s="146">
        <v>2.2954965470284992E-2</v>
      </c>
      <c r="AY71" s="146">
        <v>0.53831197525408747</v>
      </c>
      <c r="AZ71" s="146">
        <v>0.2929709205408409</v>
      </c>
      <c r="BA71" s="51"/>
      <c r="BK71" s="96"/>
      <c r="BL71" s="97"/>
      <c r="BM71" s="97"/>
      <c r="BN71" s="96"/>
      <c r="BO71" s="96"/>
      <c r="BP71" s="97"/>
      <c r="BQ71" s="97"/>
      <c r="BR71" s="97"/>
      <c r="BS71" s="97"/>
      <c r="BU71" s="113"/>
      <c r="BV71" s="113"/>
      <c r="BW71" s="113"/>
      <c r="BX71" s="113"/>
      <c r="BY71" s="113"/>
    </row>
    <row r="72" spans="1:77" ht="12" customHeight="1" outlineLevel="1">
      <c r="A72" s="49">
        <v>44958</v>
      </c>
      <c r="B72" s="49" t="s">
        <v>66</v>
      </c>
      <c r="C72" s="85">
        <f t="shared" si="5"/>
        <v>304540</v>
      </c>
      <c r="D72" s="115">
        <f t="shared" si="4"/>
        <v>156990</v>
      </c>
      <c r="E72" s="87">
        <v>27940</v>
      </c>
      <c r="F72" s="87">
        <v>29550</v>
      </c>
      <c r="G72" s="87">
        <v>12250</v>
      </c>
      <c r="H72" s="87">
        <v>440</v>
      </c>
      <c r="I72" s="87">
        <v>1330</v>
      </c>
      <c r="J72" s="87">
        <v>2470</v>
      </c>
      <c r="K72" s="87">
        <v>540</v>
      </c>
      <c r="L72" s="87">
        <v>1600</v>
      </c>
      <c r="M72" s="87">
        <v>0</v>
      </c>
      <c r="N72" s="87">
        <v>270</v>
      </c>
      <c r="O72" s="87">
        <v>720</v>
      </c>
      <c r="P72" s="88">
        <v>35570</v>
      </c>
      <c r="Q72" s="87">
        <v>15390</v>
      </c>
      <c r="R72" s="87">
        <v>3080</v>
      </c>
      <c r="S72" s="87"/>
      <c r="T72" s="87">
        <v>0</v>
      </c>
      <c r="U72" s="88">
        <v>8400</v>
      </c>
      <c r="V72" s="87">
        <v>1760</v>
      </c>
      <c r="W72" s="89">
        <v>12310</v>
      </c>
      <c r="X72" s="87">
        <v>3000</v>
      </c>
      <c r="Y72" s="87">
        <v>370</v>
      </c>
      <c r="Z72" s="90">
        <v>147550</v>
      </c>
      <c r="AA72" s="123"/>
      <c r="AB72" s="92">
        <v>231</v>
      </c>
      <c r="AC72" s="92">
        <v>8</v>
      </c>
      <c r="AD72" s="93">
        <v>2.85</v>
      </c>
      <c r="AE72" s="118">
        <v>157</v>
      </c>
      <c r="AF72" s="92">
        <v>2384</v>
      </c>
      <c r="AG72" s="92">
        <v>157</v>
      </c>
      <c r="AH72" s="129"/>
      <c r="AI72" s="92">
        <v>153.98268398268399</v>
      </c>
      <c r="AJ72" s="92">
        <v>1050</v>
      </c>
      <c r="AK72" s="92">
        <v>129.82456140350877</v>
      </c>
      <c r="AL72" s="92">
        <v>939.80891719745227</v>
      </c>
      <c r="AM72" s="92"/>
      <c r="AN72" s="92">
        <v>112650</v>
      </c>
      <c r="AO72" s="92">
        <v>191890</v>
      </c>
      <c r="AP72" s="63" t="s">
        <v>87</v>
      </c>
      <c r="AQ72" s="120"/>
      <c r="AR72" s="120"/>
      <c r="AS72" s="120"/>
      <c r="AT72" s="147">
        <v>8.5426195835493532E-2</v>
      </c>
      <c r="AU72" s="147">
        <v>0</v>
      </c>
      <c r="AV72" s="147" t="s">
        <v>86</v>
      </c>
      <c r="AW72" s="146">
        <v>0.40159885610295087</v>
      </c>
      <c r="AX72" s="146">
        <v>8.140539502735912E-2</v>
      </c>
      <c r="AY72" s="146">
        <v>0.36372681401464002</v>
      </c>
      <c r="AZ72" s="146">
        <v>0.24362953283240771</v>
      </c>
      <c r="BA72" s="51"/>
      <c r="BK72" s="96"/>
      <c r="BL72" s="97"/>
      <c r="BM72" s="97"/>
      <c r="BN72" s="96"/>
      <c r="BP72" s="97"/>
      <c r="BQ72" s="97"/>
      <c r="BR72" s="97"/>
      <c r="BS72" s="97"/>
      <c r="BU72" s="113"/>
      <c r="BV72" s="113"/>
      <c r="BW72" s="113"/>
      <c r="BX72" s="113"/>
      <c r="BY72" s="113"/>
    </row>
    <row r="73" spans="1:77" ht="12" customHeight="1" outlineLevel="1">
      <c r="A73" s="49">
        <v>44986</v>
      </c>
      <c r="B73" s="49" t="s">
        <v>67</v>
      </c>
      <c r="C73" s="85">
        <f t="shared" si="5"/>
        <v>244930</v>
      </c>
      <c r="D73" s="86">
        <f t="shared" si="4"/>
        <v>153350</v>
      </c>
      <c r="E73" s="87">
        <v>29030</v>
      </c>
      <c r="F73" s="87">
        <v>29500</v>
      </c>
      <c r="G73" s="87">
        <v>13290</v>
      </c>
      <c r="H73" s="87">
        <v>440</v>
      </c>
      <c r="I73" s="87">
        <v>1330</v>
      </c>
      <c r="J73" s="87">
        <v>2430</v>
      </c>
      <c r="K73" s="87">
        <v>540</v>
      </c>
      <c r="L73" s="87">
        <v>1600</v>
      </c>
      <c r="M73" s="87">
        <v>0</v>
      </c>
      <c r="N73" s="87">
        <v>270</v>
      </c>
      <c r="O73" s="87">
        <v>740</v>
      </c>
      <c r="P73" s="88">
        <v>29390</v>
      </c>
      <c r="Q73" s="87">
        <v>16670</v>
      </c>
      <c r="R73" s="87">
        <v>3160</v>
      </c>
      <c r="S73" s="127"/>
      <c r="T73" s="87">
        <v>0</v>
      </c>
      <c r="U73" s="88">
        <v>8050</v>
      </c>
      <c r="V73" s="87">
        <v>1360</v>
      </c>
      <c r="W73" s="89">
        <v>12310</v>
      </c>
      <c r="X73" s="87">
        <v>3000</v>
      </c>
      <c r="Y73" s="87">
        <v>240</v>
      </c>
      <c r="Z73" s="90">
        <v>91580</v>
      </c>
      <c r="AA73" s="123"/>
      <c r="AB73" s="92">
        <v>198</v>
      </c>
      <c r="AC73" s="92">
        <v>7</v>
      </c>
      <c r="AD73" s="93">
        <v>1.85</v>
      </c>
      <c r="AE73" s="118">
        <v>98</v>
      </c>
      <c r="AF73" s="92">
        <v>2482</v>
      </c>
      <c r="AG73" s="92">
        <v>98</v>
      </c>
      <c r="AH73" s="123"/>
      <c r="AI73" s="92">
        <v>148.43434343434345</v>
      </c>
      <c r="AJ73" s="92">
        <v>1150</v>
      </c>
      <c r="AK73" s="92">
        <v>129.72972972972971</v>
      </c>
      <c r="AL73" s="92">
        <v>934.48979591836735</v>
      </c>
      <c r="AM73" s="124"/>
      <c r="AN73" s="92">
        <v>115670</v>
      </c>
      <c r="AO73" s="92">
        <v>129260</v>
      </c>
      <c r="AP73" s="148">
        <v>-52030</v>
      </c>
      <c r="AQ73" s="120"/>
      <c r="AR73" s="120"/>
      <c r="AS73" s="120"/>
      <c r="AT73" s="147">
        <v>5.7478490542164855E-2</v>
      </c>
      <c r="AU73" s="147">
        <v>9.5238095238095233E-2</v>
      </c>
      <c r="AV73" s="149">
        <v>-2.0790020790022149E-3</v>
      </c>
      <c r="AW73" s="147">
        <v>0.37107591304420162</v>
      </c>
      <c r="AX73" s="146">
        <v>6.1290026607945684E-2</v>
      </c>
      <c r="AY73" s="146">
        <v>4.5708276029447457E-2</v>
      </c>
      <c r="AZ73" s="146">
        <v>5.3009458297506445E-2</v>
      </c>
      <c r="BA73" s="51"/>
      <c r="BK73" s="96"/>
      <c r="BL73" s="97"/>
      <c r="BM73" s="97"/>
      <c r="BN73" s="96"/>
      <c r="BP73" s="97"/>
      <c r="BQ73" s="97"/>
      <c r="BR73" s="97"/>
      <c r="BS73" s="97"/>
      <c r="BU73" s="113"/>
      <c r="BV73" s="113"/>
      <c r="BW73" s="113"/>
      <c r="BX73" s="113"/>
      <c r="BY73" s="113"/>
    </row>
    <row r="74" spans="1:77" ht="12" customHeight="1" outlineLevel="1">
      <c r="A74" s="49">
        <v>45017</v>
      </c>
      <c r="B74" s="49" t="s">
        <v>68</v>
      </c>
      <c r="C74" s="85">
        <f t="shared" si="5"/>
        <v>189450</v>
      </c>
      <c r="D74" s="86">
        <f t="shared" si="4"/>
        <v>148080</v>
      </c>
      <c r="E74" s="87">
        <v>27790</v>
      </c>
      <c r="F74" s="87">
        <v>29610</v>
      </c>
      <c r="G74" s="87">
        <v>12740</v>
      </c>
      <c r="H74" s="87">
        <v>440</v>
      </c>
      <c r="I74" s="87">
        <v>1330</v>
      </c>
      <c r="J74" s="87">
        <v>2120</v>
      </c>
      <c r="K74" s="87">
        <v>540</v>
      </c>
      <c r="L74" s="87">
        <v>1600</v>
      </c>
      <c r="M74" s="87">
        <v>0</v>
      </c>
      <c r="N74" s="87">
        <v>270</v>
      </c>
      <c r="O74" s="87">
        <v>1000</v>
      </c>
      <c r="P74" s="88">
        <v>29540</v>
      </c>
      <c r="Q74" s="87">
        <v>13520</v>
      </c>
      <c r="R74" s="87">
        <v>2910</v>
      </c>
      <c r="S74" s="127"/>
      <c r="T74" s="87">
        <v>0</v>
      </c>
      <c r="U74" s="88">
        <v>8050</v>
      </c>
      <c r="V74" s="87">
        <v>1310</v>
      </c>
      <c r="W74" s="89">
        <v>12310</v>
      </c>
      <c r="X74" s="87">
        <v>3000</v>
      </c>
      <c r="Y74" s="87">
        <v>0</v>
      </c>
      <c r="Z74" s="90">
        <v>41370</v>
      </c>
      <c r="AA74" s="123"/>
      <c r="AB74" s="92">
        <v>199</v>
      </c>
      <c r="AC74" s="92">
        <v>7</v>
      </c>
      <c r="AD74" s="93">
        <v>0</v>
      </c>
      <c r="AE74" s="118">
        <v>44</v>
      </c>
      <c r="AF74" s="92">
        <v>2526</v>
      </c>
      <c r="AG74" s="92">
        <v>44</v>
      </c>
      <c r="AH74" s="123"/>
      <c r="AI74" s="92">
        <v>148.44221105527637</v>
      </c>
      <c r="AJ74" s="92">
        <v>1150</v>
      </c>
      <c r="AK74" s="92" t="s">
        <v>86</v>
      </c>
      <c r="AL74" s="92">
        <v>940.22727272727275</v>
      </c>
      <c r="AM74" s="124"/>
      <c r="AN74" s="92">
        <v>110490</v>
      </c>
      <c r="AO74" s="92">
        <v>78960</v>
      </c>
      <c r="AP74" s="148">
        <v>-52030</v>
      </c>
      <c r="AQ74" s="145"/>
      <c r="AR74" s="145"/>
      <c r="AS74" s="145"/>
      <c r="AT74" s="147">
        <v>0.19436261768613169</v>
      </c>
      <c r="AU74" s="147">
        <v>9.5238095238095233E-2</v>
      </c>
      <c r="AV74" s="149" t="s">
        <v>86</v>
      </c>
      <c r="AW74" s="147">
        <v>0.3833036112349531</v>
      </c>
      <c r="AX74" s="146">
        <v>6.0670058558126141E-2</v>
      </c>
      <c r="AY74" s="146">
        <v>-4.4761674328574884E-2</v>
      </c>
      <c r="AZ74" s="146">
        <v>-1.6336424957841484E-3</v>
      </c>
      <c r="BA74" s="51"/>
      <c r="BK74" s="96"/>
      <c r="BL74" s="97"/>
      <c r="BM74" s="97"/>
      <c r="BN74" s="96"/>
      <c r="BP74" s="97"/>
      <c r="BQ74" s="97"/>
      <c r="BR74" s="97"/>
      <c r="BS74" s="97"/>
      <c r="BU74" s="113"/>
      <c r="BV74" s="113"/>
      <c r="BW74" s="113"/>
      <c r="BX74" s="113"/>
      <c r="BY74" s="113"/>
    </row>
    <row r="75" spans="1:77" ht="12" customHeight="1" outlineLevel="1">
      <c r="A75" s="49">
        <v>45047</v>
      </c>
      <c r="B75" s="49" t="s">
        <v>69</v>
      </c>
      <c r="C75" s="85">
        <f t="shared" si="5"/>
        <v>161150</v>
      </c>
      <c r="D75" s="86">
        <f t="shared" si="4"/>
        <v>143710</v>
      </c>
      <c r="E75" s="87">
        <v>26040</v>
      </c>
      <c r="F75" s="87">
        <v>29160</v>
      </c>
      <c r="G75" s="87">
        <v>12930</v>
      </c>
      <c r="H75" s="87">
        <v>440</v>
      </c>
      <c r="I75" s="87">
        <v>1330</v>
      </c>
      <c r="J75" s="87">
        <v>2780</v>
      </c>
      <c r="K75" s="87">
        <v>540</v>
      </c>
      <c r="L75" s="87">
        <v>2820</v>
      </c>
      <c r="M75" s="87">
        <v>0</v>
      </c>
      <c r="N75" s="87">
        <v>270</v>
      </c>
      <c r="O75" s="87">
        <v>320</v>
      </c>
      <c r="P75" s="88">
        <v>27670</v>
      </c>
      <c r="Q75" s="87">
        <v>11470</v>
      </c>
      <c r="R75" s="87">
        <v>3270</v>
      </c>
      <c r="S75" s="127"/>
      <c r="T75" s="87">
        <v>0</v>
      </c>
      <c r="U75" s="88">
        <v>8050</v>
      </c>
      <c r="V75" s="87">
        <v>1310</v>
      </c>
      <c r="W75" s="89">
        <v>12310</v>
      </c>
      <c r="X75" s="87">
        <v>3000</v>
      </c>
      <c r="Y75" s="87">
        <v>0</v>
      </c>
      <c r="Z75" s="90">
        <v>17440</v>
      </c>
      <c r="AA75" s="123"/>
      <c r="AB75" s="92">
        <v>187</v>
      </c>
      <c r="AC75" s="92">
        <v>7</v>
      </c>
      <c r="AD75" s="93">
        <v>0</v>
      </c>
      <c r="AE75" s="118">
        <v>18</v>
      </c>
      <c r="AF75" s="92">
        <v>2544</v>
      </c>
      <c r="AG75" s="92">
        <v>18</v>
      </c>
      <c r="AH75" s="123"/>
      <c r="AI75" s="92">
        <v>147.96791443850267</v>
      </c>
      <c r="AJ75" s="92">
        <v>1150</v>
      </c>
      <c r="AK75" s="92" t="s">
        <v>86</v>
      </c>
      <c r="AL75" s="92">
        <v>968.88888888888891</v>
      </c>
      <c r="AM75" s="124"/>
      <c r="AN75" s="92">
        <v>107990</v>
      </c>
      <c r="AO75" s="92">
        <v>53160</v>
      </c>
      <c r="AP75" s="148">
        <v>-52030</v>
      </c>
      <c r="AQ75" s="145"/>
      <c r="AR75" s="145"/>
      <c r="AS75" s="145"/>
      <c r="AT75" s="147">
        <v>0.25302841616664773</v>
      </c>
      <c r="AU75" s="147">
        <v>9.5238095238095233E-2</v>
      </c>
      <c r="AV75" s="149" t="s">
        <v>86</v>
      </c>
      <c r="AW75" s="147">
        <v>0.27683031869078378</v>
      </c>
      <c r="AX75" s="146">
        <v>-9.175153683824204E-3</v>
      </c>
      <c r="AY75" s="146">
        <v>0.11516677155443675</v>
      </c>
      <c r="AZ75" s="146">
        <v>5.1412539962158284E-2</v>
      </c>
      <c r="BA75" s="51"/>
      <c r="BK75" s="96"/>
      <c r="BL75" s="97"/>
      <c r="BM75" s="97"/>
      <c r="BN75" s="96"/>
      <c r="BP75" s="97"/>
      <c r="BQ75" s="97"/>
      <c r="BR75" s="97"/>
      <c r="BS75" s="97"/>
      <c r="BU75" s="113"/>
      <c r="BV75" s="113"/>
      <c r="BW75" s="113"/>
      <c r="BX75" s="113"/>
      <c r="BY75" s="113"/>
    </row>
    <row r="76" spans="1:77" ht="12" customHeight="1" outlineLevel="1">
      <c r="A76" s="49">
        <v>45078</v>
      </c>
      <c r="B76" s="49" t="s">
        <v>70</v>
      </c>
      <c r="C76" s="85">
        <f t="shared" si="5"/>
        <v>149580</v>
      </c>
      <c r="D76" s="86">
        <f t="shared" si="4"/>
        <v>142110</v>
      </c>
      <c r="E76" s="87">
        <v>26040</v>
      </c>
      <c r="F76" s="87">
        <v>29160</v>
      </c>
      <c r="G76" s="87">
        <v>13340</v>
      </c>
      <c r="H76" s="87">
        <v>440</v>
      </c>
      <c r="I76" s="87">
        <v>1330</v>
      </c>
      <c r="J76" s="87">
        <v>2290</v>
      </c>
      <c r="K76" s="87">
        <v>540</v>
      </c>
      <c r="L76" s="87">
        <v>2820</v>
      </c>
      <c r="M76" s="87">
        <v>0</v>
      </c>
      <c r="N76" s="87">
        <v>270</v>
      </c>
      <c r="O76" s="87">
        <v>300</v>
      </c>
      <c r="P76" s="88">
        <v>27810</v>
      </c>
      <c r="Q76" s="87">
        <v>9930</v>
      </c>
      <c r="R76" s="87">
        <v>3140</v>
      </c>
      <c r="S76" s="127"/>
      <c r="T76" s="87">
        <v>0</v>
      </c>
      <c r="U76" s="88">
        <v>8050</v>
      </c>
      <c r="V76" s="87">
        <v>1320</v>
      </c>
      <c r="W76" s="89">
        <v>12310</v>
      </c>
      <c r="X76" s="87">
        <v>3000</v>
      </c>
      <c r="Y76" s="87">
        <v>20</v>
      </c>
      <c r="Z76" s="90">
        <v>7470</v>
      </c>
      <c r="AA76" s="123"/>
      <c r="AB76" s="92">
        <v>187</v>
      </c>
      <c r="AC76" s="92">
        <v>7</v>
      </c>
      <c r="AD76" s="128">
        <v>0.2</v>
      </c>
      <c r="AE76" s="118">
        <v>7</v>
      </c>
      <c r="AF76" s="92">
        <v>2551</v>
      </c>
      <c r="AG76" s="92">
        <v>7</v>
      </c>
      <c r="AH76" s="123"/>
      <c r="AI76" s="92">
        <v>148.71657754010695</v>
      </c>
      <c r="AJ76" s="92">
        <v>1150</v>
      </c>
      <c r="AK76" s="92">
        <v>100</v>
      </c>
      <c r="AL76" s="92">
        <v>1067.1428571428571</v>
      </c>
      <c r="AM76" s="124"/>
      <c r="AN76" s="92">
        <v>106230</v>
      </c>
      <c r="AO76" s="92">
        <v>43350</v>
      </c>
      <c r="AP76" s="109"/>
      <c r="AQ76" s="145"/>
      <c r="AR76" s="145"/>
      <c r="AS76" s="145"/>
      <c r="AT76" s="147">
        <v>0.40743806971764246</v>
      </c>
      <c r="AU76" s="147">
        <v>9.5238095238095233E-2</v>
      </c>
      <c r="AV76" s="147">
        <v>-0.2</v>
      </c>
      <c r="AW76" s="147">
        <v>0.26629680998613031</v>
      </c>
      <c r="AX76" s="146">
        <v>-8.1232492997198886E-3</v>
      </c>
      <c r="AY76" s="146">
        <v>0.16375838926174496</v>
      </c>
      <c r="AZ76" s="146">
        <v>9.182481751824817E-2</v>
      </c>
      <c r="BA76" s="51"/>
      <c r="BK76" s="96"/>
      <c r="BL76" s="97"/>
      <c r="BM76" s="97"/>
      <c r="BN76" s="96"/>
      <c r="BP76" s="97"/>
      <c r="BQ76" s="97"/>
      <c r="BR76" s="97"/>
      <c r="BS76" s="97"/>
      <c r="BU76" s="113"/>
      <c r="BV76" s="113"/>
      <c r="BW76" s="113"/>
      <c r="BX76" s="113"/>
      <c r="BY76" s="113"/>
    </row>
    <row r="77" spans="1:77" ht="12" customHeight="1" outlineLevel="1">
      <c r="A77" s="49">
        <v>45108</v>
      </c>
      <c r="B77" s="49" t="s">
        <v>71</v>
      </c>
      <c r="C77" s="85">
        <f t="shared" si="5"/>
        <v>149810</v>
      </c>
      <c r="D77" s="86">
        <f t="shared" si="4"/>
        <v>145110</v>
      </c>
      <c r="E77" s="87">
        <v>26780</v>
      </c>
      <c r="F77" s="87">
        <v>29450</v>
      </c>
      <c r="G77" s="87">
        <v>13340</v>
      </c>
      <c r="H77" s="87">
        <v>440</v>
      </c>
      <c r="I77" s="87">
        <v>1330</v>
      </c>
      <c r="J77" s="87">
        <v>2700</v>
      </c>
      <c r="K77" s="87">
        <v>540</v>
      </c>
      <c r="L77" s="87">
        <v>2820</v>
      </c>
      <c r="M77" s="87">
        <v>0</v>
      </c>
      <c r="N77" s="87">
        <v>270</v>
      </c>
      <c r="O77" s="87">
        <v>300</v>
      </c>
      <c r="P77" s="88">
        <v>28380</v>
      </c>
      <c r="Q77" s="87">
        <v>11610</v>
      </c>
      <c r="R77" s="87">
        <v>3370</v>
      </c>
      <c r="S77" s="87"/>
      <c r="T77" s="87">
        <v>0</v>
      </c>
      <c r="U77" s="88">
        <v>6900</v>
      </c>
      <c r="V77" s="87">
        <v>1500</v>
      </c>
      <c r="W77" s="89">
        <v>12310</v>
      </c>
      <c r="X77" s="87">
        <v>3000</v>
      </c>
      <c r="Y77" s="87">
        <v>70</v>
      </c>
      <c r="Z77" s="90">
        <v>4700</v>
      </c>
      <c r="AA77" s="123"/>
      <c r="AB77" s="92">
        <v>182</v>
      </c>
      <c r="AC77" s="92">
        <v>6</v>
      </c>
      <c r="AD77" s="128">
        <v>0.6</v>
      </c>
      <c r="AE77" s="118">
        <v>4</v>
      </c>
      <c r="AF77" s="92">
        <v>2555</v>
      </c>
      <c r="AG77" s="92">
        <v>4</v>
      </c>
      <c r="AH77" s="123"/>
      <c r="AI77" s="92">
        <v>155.93406593406593</v>
      </c>
      <c r="AJ77" s="92">
        <v>1150</v>
      </c>
      <c r="AK77" s="92">
        <v>116.66666666666667</v>
      </c>
      <c r="AL77" s="92">
        <v>1175</v>
      </c>
      <c r="AM77" s="124"/>
      <c r="AN77" s="92">
        <v>109760</v>
      </c>
      <c r="AO77" s="92">
        <v>40050</v>
      </c>
      <c r="AP77" s="109"/>
      <c r="AQ77" s="145"/>
      <c r="AR77" s="145"/>
      <c r="AS77" s="145"/>
      <c r="AT77" s="147">
        <v>0.46488367894938726</v>
      </c>
      <c r="AU77" s="147">
        <v>9.5238095238095233E-2</v>
      </c>
      <c r="AV77" s="149">
        <v>-8.1967213114754134E-2</v>
      </c>
      <c r="AW77" s="147">
        <v>0.53094462540716614</v>
      </c>
      <c r="AX77" s="147">
        <v>3.9393939393939391E-2</v>
      </c>
      <c r="AY77" s="147">
        <v>0.22815087396504141</v>
      </c>
      <c r="AZ77" s="147">
        <v>0.11623574994411742</v>
      </c>
      <c r="BA77" s="51"/>
      <c r="BK77" s="96"/>
      <c r="BL77" s="97"/>
      <c r="BM77" s="97"/>
      <c r="BN77" s="96"/>
      <c r="BP77" s="97"/>
      <c r="BQ77" s="97"/>
      <c r="BR77" s="97"/>
      <c r="BS77" s="97"/>
      <c r="BU77" s="113"/>
      <c r="BV77" s="113"/>
      <c r="BW77" s="113"/>
      <c r="BX77" s="113"/>
      <c r="BY77" s="113"/>
    </row>
    <row r="78" spans="1:77" ht="12" customHeight="1" outlineLevel="1">
      <c r="A78" s="49">
        <v>45139</v>
      </c>
      <c r="B78" s="49" t="s">
        <v>72</v>
      </c>
      <c r="C78" s="85">
        <f t="shared" si="5"/>
        <v>159490</v>
      </c>
      <c r="D78" s="86">
        <f t="shared" si="4"/>
        <v>155550</v>
      </c>
      <c r="E78" s="87">
        <v>25480</v>
      </c>
      <c r="F78" s="87">
        <v>29390</v>
      </c>
      <c r="G78" s="87">
        <v>12300</v>
      </c>
      <c r="H78" s="87">
        <v>440</v>
      </c>
      <c r="I78" s="87">
        <v>1330</v>
      </c>
      <c r="J78" s="87">
        <v>2050</v>
      </c>
      <c r="K78" s="87">
        <v>540</v>
      </c>
      <c r="L78" s="87">
        <v>2820</v>
      </c>
      <c r="M78" s="87">
        <v>0</v>
      </c>
      <c r="N78" s="87">
        <v>270</v>
      </c>
      <c r="O78" s="87">
        <v>300</v>
      </c>
      <c r="P78" s="88">
        <v>39160</v>
      </c>
      <c r="Q78" s="87">
        <v>14050</v>
      </c>
      <c r="R78" s="87">
        <v>3660</v>
      </c>
      <c r="S78" s="87"/>
      <c r="T78" s="87">
        <v>0</v>
      </c>
      <c r="U78" s="88">
        <v>6900</v>
      </c>
      <c r="V78" s="87">
        <v>1350</v>
      </c>
      <c r="W78" s="89">
        <v>12310</v>
      </c>
      <c r="X78" s="87">
        <v>3000</v>
      </c>
      <c r="Y78" s="87">
        <v>200</v>
      </c>
      <c r="Z78" s="90">
        <v>3940</v>
      </c>
      <c r="AA78" s="123"/>
      <c r="AB78" s="92">
        <v>231</v>
      </c>
      <c r="AC78" s="92">
        <v>6</v>
      </c>
      <c r="AD78" s="128">
        <v>1.55</v>
      </c>
      <c r="AE78" s="118">
        <v>3</v>
      </c>
      <c r="AF78" s="92">
        <v>2558</v>
      </c>
      <c r="AG78" s="92">
        <v>3</v>
      </c>
      <c r="AH78" s="123"/>
      <c r="AI78" s="92">
        <v>169.52380952380952</v>
      </c>
      <c r="AJ78" s="92">
        <v>1150</v>
      </c>
      <c r="AK78" s="92">
        <v>129.03225806451613</v>
      </c>
      <c r="AL78" s="92">
        <v>1313.3333333333333</v>
      </c>
      <c r="AM78" s="124"/>
      <c r="AN78" s="92">
        <v>109290</v>
      </c>
      <c r="AO78" s="92">
        <v>50200</v>
      </c>
      <c r="AP78" s="109"/>
      <c r="AQ78" s="145"/>
      <c r="AR78" s="145"/>
      <c r="AS78" s="145"/>
      <c r="AT78" s="147">
        <v>0.24682027649769583</v>
      </c>
      <c r="AU78" s="147">
        <v>9.5238095238095233E-2</v>
      </c>
      <c r="AV78" s="147">
        <v>3.5842293906809012E-3</v>
      </c>
      <c r="AW78" s="147">
        <v>0.33672603901611525</v>
      </c>
      <c r="AX78" s="147">
        <v>9.5639097744360899E-2</v>
      </c>
      <c r="AY78" s="147">
        <v>0.15614923998157532</v>
      </c>
      <c r="AZ78" s="147">
        <v>6.6323460587016117E-2</v>
      </c>
      <c r="BA78" s="51"/>
      <c r="BB78" s="113"/>
      <c r="BP78" s="97"/>
      <c r="BQ78" s="97"/>
      <c r="BR78" s="97"/>
      <c r="BS78" s="97"/>
      <c r="BU78" s="113"/>
      <c r="BV78" s="113"/>
      <c r="BW78" s="113"/>
      <c r="BX78" s="113"/>
      <c r="BY78" s="113"/>
    </row>
    <row r="79" spans="1:77" ht="12" customHeight="1" outlineLevel="1">
      <c r="A79" s="49">
        <v>45170</v>
      </c>
      <c r="B79" s="49" t="s">
        <v>73</v>
      </c>
      <c r="C79" s="85">
        <f t="shared" si="5"/>
        <v>178150</v>
      </c>
      <c r="D79" s="86">
        <f t="shared" si="4"/>
        <v>175190</v>
      </c>
      <c r="E79" s="87">
        <v>26160</v>
      </c>
      <c r="F79" s="87">
        <v>29500</v>
      </c>
      <c r="G79" s="87">
        <v>12770</v>
      </c>
      <c r="H79" s="87">
        <v>440</v>
      </c>
      <c r="I79" s="87">
        <v>1330</v>
      </c>
      <c r="J79" s="87">
        <v>2040</v>
      </c>
      <c r="K79" s="87">
        <v>540</v>
      </c>
      <c r="L79" s="87">
        <v>2820</v>
      </c>
      <c r="M79" s="87">
        <v>1090</v>
      </c>
      <c r="N79" s="87">
        <v>270</v>
      </c>
      <c r="O79" s="87">
        <v>1270</v>
      </c>
      <c r="P79" s="88">
        <v>52140</v>
      </c>
      <c r="Q79" s="87">
        <v>15280</v>
      </c>
      <c r="R79" s="87">
        <v>4250</v>
      </c>
      <c r="S79" s="87"/>
      <c r="T79" s="87">
        <v>160</v>
      </c>
      <c r="U79" s="88">
        <v>8050</v>
      </c>
      <c r="V79" s="87">
        <v>1610</v>
      </c>
      <c r="W79" s="89">
        <v>12310</v>
      </c>
      <c r="X79" s="87">
        <v>3000</v>
      </c>
      <c r="Y79" s="87">
        <v>160</v>
      </c>
      <c r="Z79" s="90">
        <v>2960</v>
      </c>
      <c r="AA79" s="123"/>
      <c r="AB79" s="92">
        <v>320</v>
      </c>
      <c r="AC79" s="92">
        <v>7</v>
      </c>
      <c r="AD79" s="128">
        <v>1.3</v>
      </c>
      <c r="AE79" s="118">
        <v>2</v>
      </c>
      <c r="AF79" s="92">
        <v>2560</v>
      </c>
      <c r="AG79" s="92">
        <v>2</v>
      </c>
      <c r="AH79" s="123"/>
      <c r="AI79" s="92">
        <v>162.9375</v>
      </c>
      <c r="AJ79" s="92">
        <v>1150</v>
      </c>
      <c r="AK79" s="92">
        <v>123.07692307692307</v>
      </c>
      <c r="AL79" s="92">
        <v>1480</v>
      </c>
      <c r="AM79" s="124"/>
      <c r="AN79" s="92">
        <v>114840</v>
      </c>
      <c r="AO79" s="92">
        <v>63310</v>
      </c>
      <c r="AP79" s="129"/>
      <c r="AQ79" s="145"/>
      <c r="AR79" s="145"/>
      <c r="AS79" s="145"/>
      <c r="AT79" s="147">
        <v>0.28490272373540848</v>
      </c>
      <c r="AU79" s="147">
        <v>9.5238095238095233E-2</v>
      </c>
      <c r="AV79" s="147">
        <v>0</v>
      </c>
      <c r="AW79" s="147">
        <v>0.5025380710659898</v>
      </c>
      <c r="AX79" s="147">
        <v>0.13031496062992126</v>
      </c>
      <c r="AY79" s="147">
        <v>0.26619999999999999</v>
      </c>
      <c r="AZ79" s="147">
        <v>0.14433453237410071</v>
      </c>
      <c r="BA79" s="51"/>
      <c r="BB79" s="113"/>
      <c r="BP79" s="97"/>
      <c r="BQ79" s="97"/>
      <c r="BR79" s="97"/>
      <c r="BS79" s="97"/>
      <c r="BU79" s="113"/>
      <c r="BV79" s="113"/>
      <c r="BW79" s="113"/>
      <c r="BX79" s="113"/>
      <c r="BY79" s="113"/>
    </row>
    <row r="80" spans="1:77" ht="12" customHeight="1" outlineLevel="1">
      <c r="A80" s="49">
        <v>45200</v>
      </c>
      <c r="B80" s="49" t="s">
        <v>74</v>
      </c>
      <c r="C80" s="85">
        <f t="shared" si="5"/>
        <v>172050</v>
      </c>
      <c r="D80" s="86">
        <f t="shared" si="4"/>
        <v>168130</v>
      </c>
      <c r="E80" s="87">
        <v>26090</v>
      </c>
      <c r="F80" s="87">
        <v>29350</v>
      </c>
      <c r="G80" s="87">
        <v>13160</v>
      </c>
      <c r="H80" s="87">
        <v>440</v>
      </c>
      <c r="I80" s="87">
        <v>1330</v>
      </c>
      <c r="J80" s="87">
        <v>2100</v>
      </c>
      <c r="K80" s="87">
        <v>540</v>
      </c>
      <c r="L80" s="87">
        <v>2820</v>
      </c>
      <c r="M80" s="87">
        <v>0</v>
      </c>
      <c r="N80" s="87">
        <v>270</v>
      </c>
      <c r="O80" s="87">
        <v>1460</v>
      </c>
      <c r="P80" s="88">
        <v>47810</v>
      </c>
      <c r="Q80" s="87">
        <v>14040</v>
      </c>
      <c r="R80" s="87">
        <v>3740</v>
      </c>
      <c r="S80" s="87"/>
      <c r="T80" s="87">
        <v>0</v>
      </c>
      <c r="U80" s="88">
        <v>8050</v>
      </c>
      <c r="V80" s="87">
        <v>1460</v>
      </c>
      <c r="W80" s="89">
        <v>12310</v>
      </c>
      <c r="X80" s="87">
        <v>3000</v>
      </c>
      <c r="Y80" s="87">
        <v>160</v>
      </c>
      <c r="Z80" s="90">
        <v>3920</v>
      </c>
      <c r="AA80" s="123"/>
      <c r="AB80" s="92">
        <v>305</v>
      </c>
      <c r="AC80" s="92">
        <v>7</v>
      </c>
      <c r="AD80" s="128">
        <v>1.25</v>
      </c>
      <c r="AE80" s="118">
        <v>3</v>
      </c>
      <c r="AF80" s="92">
        <v>2563</v>
      </c>
      <c r="AG80" s="92">
        <v>3</v>
      </c>
      <c r="AH80" s="123"/>
      <c r="AI80" s="92">
        <v>156.75409836065575</v>
      </c>
      <c r="AJ80" s="92">
        <v>1150</v>
      </c>
      <c r="AK80" s="92">
        <v>128</v>
      </c>
      <c r="AL80" s="92">
        <v>1306.6666666666667</v>
      </c>
      <c r="AM80" s="124"/>
      <c r="AN80" s="92">
        <v>112110</v>
      </c>
      <c r="AO80" s="92">
        <v>59940</v>
      </c>
      <c r="AP80" s="109"/>
      <c r="AQ80" s="145"/>
      <c r="AR80" s="145"/>
      <c r="AS80" s="145"/>
      <c r="AT80" s="147">
        <v>0.2072461276202735</v>
      </c>
      <c r="AU80" s="147">
        <v>9.5238095238095233E-2</v>
      </c>
      <c r="AV80" s="147" t="s">
        <v>86</v>
      </c>
      <c r="AW80" s="147">
        <v>0.34707903780068738</v>
      </c>
      <c r="AX80" s="147">
        <v>5.6146961846443709E-2</v>
      </c>
      <c r="AY80" s="147">
        <v>0.2857142857142857</v>
      </c>
      <c r="AZ80" s="147">
        <v>0.132429408280129</v>
      </c>
      <c r="BA80" s="51"/>
      <c r="BB80" s="113"/>
      <c r="BP80" s="97"/>
      <c r="BQ80" s="97"/>
      <c r="BR80" s="97"/>
      <c r="BS80" s="97"/>
      <c r="BU80" s="113"/>
      <c r="BV80" s="113"/>
      <c r="BW80" s="113"/>
      <c r="BX80" s="113"/>
      <c r="BY80" s="113"/>
    </row>
    <row r="81" spans="1:77" ht="12" customHeight="1" outlineLevel="1">
      <c r="A81" s="49">
        <v>45231</v>
      </c>
      <c r="B81" s="49" t="s">
        <v>63</v>
      </c>
      <c r="C81" s="85">
        <f t="shared" si="5"/>
        <v>164270</v>
      </c>
      <c r="D81" s="86">
        <f t="shared" si="4"/>
        <v>152560</v>
      </c>
      <c r="E81" s="87">
        <v>24220</v>
      </c>
      <c r="F81" s="87">
        <v>29500</v>
      </c>
      <c r="G81" s="87">
        <v>13340</v>
      </c>
      <c r="H81" s="87">
        <v>500</v>
      </c>
      <c r="I81" s="87">
        <v>1330</v>
      </c>
      <c r="J81" s="87">
        <v>2970</v>
      </c>
      <c r="K81" s="87">
        <v>490</v>
      </c>
      <c r="L81" s="87">
        <v>2820</v>
      </c>
      <c r="M81" s="87">
        <v>0</v>
      </c>
      <c r="N81" s="87">
        <v>270</v>
      </c>
      <c r="O81" s="87">
        <v>1330</v>
      </c>
      <c r="P81" s="88">
        <v>38000</v>
      </c>
      <c r="Q81" s="87">
        <v>10790</v>
      </c>
      <c r="R81" s="87">
        <v>3330</v>
      </c>
      <c r="S81" s="87"/>
      <c r="T81" s="87">
        <v>0</v>
      </c>
      <c r="U81" s="88">
        <v>6900</v>
      </c>
      <c r="V81" s="87">
        <v>1390</v>
      </c>
      <c r="W81" s="89">
        <v>12310</v>
      </c>
      <c r="X81" s="87">
        <v>3000</v>
      </c>
      <c r="Y81" s="87">
        <v>70</v>
      </c>
      <c r="Z81" s="90">
        <v>11710</v>
      </c>
      <c r="AA81" s="123"/>
      <c r="AB81" s="92">
        <v>222</v>
      </c>
      <c r="AC81" s="92">
        <v>6</v>
      </c>
      <c r="AD81" s="128">
        <v>0.6</v>
      </c>
      <c r="AE81" s="118">
        <v>11</v>
      </c>
      <c r="AF81" s="92">
        <v>2574</v>
      </c>
      <c r="AG81" s="92">
        <v>11</v>
      </c>
      <c r="AH81" s="123"/>
      <c r="AI81" s="92">
        <v>171.17117117117118</v>
      </c>
      <c r="AJ81" s="92">
        <v>1150</v>
      </c>
      <c r="AK81" s="92">
        <v>116.66666666666667</v>
      </c>
      <c r="AL81" s="92">
        <v>1064.5454545454545</v>
      </c>
      <c r="AM81" s="124"/>
      <c r="AN81" s="92">
        <v>107907.67196119935</v>
      </c>
      <c r="AO81" s="92">
        <v>56920.080614686987</v>
      </c>
      <c r="AP81" s="109"/>
      <c r="AQ81" s="145"/>
      <c r="AR81" s="145"/>
      <c r="AS81" s="145"/>
      <c r="AT81" s="147">
        <v>0.34963280363873844</v>
      </c>
      <c r="AU81" s="147">
        <v>9.5238095238095233E-2</v>
      </c>
      <c r="AV81" s="147">
        <v>-9.4827586206896491E-2</v>
      </c>
      <c r="AW81" s="147">
        <v>7.8931203931203925E-2</v>
      </c>
      <c r="AX81" s="147">
        <v>2.1079409171076331E-2</v>
      </c>
      <c r="AY81" s="147">
        <v>0.1374916189985409</v>
      </c>
      <c r="AZ81" s="147">
        <v>0.1068661141432518</v>
      </c>
      <c r="BA81" s="51"/>
      <c r="BB81" s="113"/>
      <c r="BP81" s="97"/>
      <c r="BQ81" s="97"/>
      <c r="BR81" s="97"/>
      <c r="BS81" s="97"/>
      <c r="BU81" s="113"/>
      <c r="BV81" s="113"/>
      <c r="BW81" s="113"/>
      <c r="BX81" s="113"/>
      <c r="BY81" s="113"/>
    </row>
    <row r="82" spans="1:77" ht="12" customHeight="1" outlineLevel="1">
      <c r="A82" s="52">
        <v>45261</v>
      </c>
      <c r="B82" s="52" t="s">
        <v>64</v>
      </c>
      <c r="C82" s="131">
        <f t="shared" si="5"/>
        <v>241350</v>
      </c>
      <c r="D82" s="132">
        <f t="shared" si="4"/>
        <v>155370</v>
      </c>
      <c r="E82" s="133">
        <v>25730</v>
      </c>
      <c r="F82" s="133">
        <v>28970</v>
      </c>
      <c r="G82" s="133">
        <v>13340</v>
      </c>
      <c r="H82" s="133">
        <v>500</v>
      </c>
      <c r="I82" s="133">
        <v>1330</v>
      </c>
      <c r="J82" s="133">
        <v>2980</v>
      </c>
      <c r="K82" s="133">
        <v>410</v>
      </c>
      <c r="L82" s="133">
        <v>2820</v>
      </c>
      <c r="M82" s="133">
        <v>0</v>
      </c>
      <c r="N82" s="133">
        <v>150</v>
      </c>
      <c r="O82" s="133">
        <v>890</v>
      </c>
      <c r="P82" s="134">
        <v>36500</v>
      </c>
      <c r="Q82" s="133">
        <v>12020</v>
      </c>
      <c r="R82" s="133">
        <v>3380</v>
      </c>
      <c r="S82" s="133"/>
      <c r="T82" s="133">
        <v>0</v>
      </c>
      <c r="U82" s="134">
        <v>9200</v>
      </c>
      <c r="V82" s="133">
        <v>1330</v>
      </c>
      <c r="W82" s="135">
        <v>12310</v>
      </c>
      <c r="X82" s="133">
        <v>3000</v>
      </c>
      <c r="Y82" s="133">
        <v>510</v>
      </c>
      <c r="Z82" s="136">
        <v>85980</v>
      </c>
      <c r="AA82" s="137"/>
      <c r="AB82" s="138">
        <v>219</v>
      </c>
      <c r="AC82" s="138">
        <v>8</v>
      </c>
      <c r="AD82" s="139">
        <v>3.95</v>
      </c>
      <c r="AE82" s="140">
        <v>87</v>
      </c>
      <c r="AF82" s="138">
        <v>2661</v>
      </c>
      <c r="AG82" s="138">
        <v>87</v>
      </c>
      <c r="AH82" s="137"/>
      <c r="AI82" s="138">
        <v>166.66666666666666</v>
      </c>
      <c r="AJ82" s="138">
        <v>1150</v>
      </c>
      <c r="AK82" s="138">
        <v>129.1139240506329</v>
      </c>
      <c r="AL82" s="138">
        <v>988.27586206896547</v>
      </c>
      <c r="AM82" s="137"/>
      <c r="AN82" s="138">
        <v>109160</v>
      </c>
      <c r="AO82" s="138">
        <v>132190</v>
      </c>
      <c r="AP82" s="150"/>
      <c r="AQ82" s="141"/>
      <c r="AR82" s="141"/>
      <c r="AS82" s="141"/>
      <c r="AT82" s="151">
        <v>0.24622851895579168</v>
      </c>
      <c r="AU82" s="151">
        <v>9.5238095238095233E-2</v>
      </c>
      <c r="AV82" s="151" t="s">
        <v>86</v>
      </c>
      <c r="AW82" s="151">
        <v>4.6409736308316359E-2</v>
      </c>
      <c r="AX82" s="151">
        <v>3.6558731364542775E-2</v>
      </c>
      <c r="AY82" s="151">
        <v>0.53959934777544838</v>
      </c>
      <c r="AZ82" s="151">
        <v>0.27630883130618722</v>
      </c>
      <c r="BA82" s="51"/>
      <c r="BB82" s="113"/>
      <c r="BP82" s="97"/>
      <c r="BQ82" s="97"/>
      <c r="BR82" s="97"/>
      <c r="BS82" s="97"/>
      <c r="BU82" s="113"/>
      <c r="BV82" s="113"/>
      <c r="BW82" s="113"/>
      <c r="BX82" s="113"/>
      <c r="BY82" s="113"/>
    </row>
    <row r="83" spans="1:77" ht="12" customHeight="1" outlineLevel="1" collapsed="1">
      <c r="A83" s="152">
        <v>45292</v>
      </c>
      <c r="B83" s="152" t="s">
        <v>65</v>
      </c>
      <c r="C83" s="153">
        <f t="shared" si="5"/>
        <v>204800</v>
      </c>
      <c r="D83" s="154">
        <f t="shared" si="4"/>
        <v>154700</v>
      </c>
      <c r="E83" s="155">
        <v>25480</v>
      </c>
      <c r="F83" s="155">
        <v>29390</v>
      </c>
      <c r="G83" s="155">
        <v>13340</v>
      </c>
      <c r="H83" s="155">
        <v>500</v>
      </c>
      <c r="I83" s="155">
        <v>1330</v>
      </c>
      <c r="J83" s="155">
        <v>2610</v>
      </c>
      <c r="K83" s="155">
        <v>390</v>
      </c>
      <c r="L83" s="155">
        <v>2820</v>
      </c>
      <c r="M83" s="155">
        <v>0</v>
      </c>
      <c r="N83" s="155">
        <v>250</v>
      </c>
      <c r="O83" s="155">
        <v>840</v>
      </c>
      <c r="P83" s="156">
        <v>34480</v>
      </c>
      <c r="Q83" s="155">
        <v>15180</v>
      </c>
      <c r="R83" s="155">
        <v>3160</v>
      </c>
      <c r="S83" s="155"/>
      <c r="T83" s="155">
        <v>0</v>
      </c>
      <c r="U83" s="156">
        <v>8050</v>
      </c>
      <c r="V83" s="155">
        <v>1570</v>
      </c>
      <c r="W83" s="157">
        <v>12310</v>
      </c>
      <c r="X83" s="155">
        <v>3000</v>
      </c>
      <c r="Y83" s="155">
        <v>0</v>
      </c>
      <c r="Z83" s="158">
        <v>50100</v>
      </c>
      <c r="AA83" s="159"/>
      <c r="AB83" s="160">
        <v>214</v>
      </c>
      <c r="AC83" s="160">
        <v>7</v>
      </c>
      <c r="AD83" s="161">
        <v>0</v>
      </c>
      <c r="AE83" s="162">
        <v>50</v>
      </c>
      <c r="AF83" s="160">
        <v>2711</v>
      </c>
      <c r="AG83" s="160">
        <v>50</v>
      </c>
      <c r="AH83" s="159"/>
      <c r="AI83" s="160">
        <v>161.12149532710279</v>
      </c>
      <c r="AJ83" s="160">
        <v>1150</v>
      </c>
      <c r="AK83" s="160" t="s">
        <v>86</v>
      </c>
      <c r="AL83" s="160">
        <f t="shared" ref="AL83:AL101" si="6">Z83/AE83</f>
        <v>1002</v>
      </c>
      <c r="AM83" s="159"/>
      <c r="AN83" s="160">
        <v>112170</v>
      </c>
      <c r="AO83" s="160">
        <v>92630</v>
      </c>
      <c r="AP83" s="163"/>
      <c r="AQ83" s="164"/>
      <c r="AR83" s="164"/>
      <c r="AS83" s="164"/>
      <c r="AT83" s="165">
        <f t="shared" ref="AT83:AW98" si="7">IFERROR((AI83-AI71)/AI71,"")</f>
        <v>0.20035171061059978</v>
      </c>
      <c r="AU83" s="165">
        <f t="shared" si="7"/>
        <v>9.5238095238095233E-2</v>
      </c>
      <c r="AV83" s="165" t="str">
        <f t="shared" si="7"/>
        <v/>
      </c>
      <c r="AW83" s="165">
        <f t="shared" si="7"/>
        <v>7.7946210268948699E-2</v>
      </c>
      <c r="AX83" s="165">
        <f>IFERROR((AN83-AN71)/AN71,"")</f>
        <v>6.6558904630598076E-2</v>
      </c>
      <c r="AY83" s="165">
        <f>IFERROR((AO83-AO71)/AO71,"")</f>
        <v>-0.46782718602780649</v>
      </c>
      <c r="AZ83" s="165">
        <f>IFERROR((C83-C71)/C71,"")</f>
        <v>-0.26655445331805322</v>
      </c>
      <c r="BA83" s="51"/>
      <c r="BB83" s="113"/>
      <c r="BP83" s="97"/>
      <c r="BQ83" s="97"/>
      <c r="BR83" s="97"/>
      <c r="BS83" s="97"/>
      <c r="BU83" s="113"/>
      <c r="BV83" s="113"/>
      <c r="BW83" s="113"/>
      <c r="BX83" s="113"/>
      <c r="BY83" s="113"/>
    </row>
    <row r="84" spans="1:77" ht="12" customHeight="1" outlineLevel="1">
      <c r="A84" s="49">
        <v>45323</v>
      </c>
      <c r="B84" s="49" t="s">
        <v>66</v>
      </c>
      <c r="C84" s="85">
        <f t="shared" si="5"/>
        <v>269060</v>
      </c>
      <c r="D84" s="86">
        <f>ROUNDDOWN(SUM(E84:Y84),-1)</f>
        <v>137440</v>
      </c>
      <c r="E84" s="87">
        <v>28140</v>
      </c>
      <c r="F84" s="87">
        <v>30110</v>
      </c>
      <c r="G84" s="87">
        <v>13080</v>
      </c>
      <c r="H84" s="87">
        <v>500</v>
      </c>
      <c r="I84" s="87">
        <v>1330</v>
      </c>
      <c r="J84" s="87">
        <v>3070</v>
      </c>
      <c r="K84" s="87">
        <v>410</v>
      </c>
      <c r="L84" s="87">
        <v>2870</v>
      </c>
      <c r="M84" s="87">
        <v>0</v>
      </c>
      <c r="N84" s="87">
        <v>250</v>
      </c>
      <c r="O84" s="87">
        <v>970</v>
      </c>
      <c r="P84" s="88">
        <v>16980</v>
      </c>
      <c r="Q84" s="87">
        <v>17440</v>
      </c>
      <c r="R84" s="87">
        <v>3210</v>
      </c>
      <c r="S84" s="127"/>
      <c r="T84" s="87">
        <v>0</v>
      </c>
      <c r="U84" s="88">
        <v>2300</v>
      </c>
      <c r="V84" s="87">
        <v>1340</v>
      </c>
      <c r="W84" s="89">
        <v>12310</v>
      </c>
      <c r="X84" s="87">
        <v>3000</v>
      </c>
      <c r="Y84" s="87">
        <v>130</v>
      </c>
      <c r="Z84" s="90">
        <v>131620</v>
      </c>
      <c r="AA84" s="123"/>
      <c r="AB84" s="92">
        <v>113</v>
      </c>
      <c r="AC84" s="92">
        <v>2</v>
      </c>
      <c r="AD84" s="93">
        <v>1</v>
      </c>
      <c r="AE84" s="118">
        <v>133</v>
      </c>
      <c r="AF84" s="92">
        <v>2844</v>
      </c>
      <c r="AG84" s="92">
        <v>133</v>
      </c>
      <c r="AH84" s="123"/>
      <c r="AI84" s="92">
        <v>150.26548672566372</v>
      </c>
      <c r="AJ84" s="92">
        <v>1150</v>
      </c>
      <c r="AK84" s="92">
        <v>130</v>
      </c>
      <c r="AL84" s="92">
        <f t="shared" si="6"/>
        <v>989.62406015037595</v>
      </c>
      <c r="AM84" s="124"/>
      <c r="AN84" s="92">
        <v>118030</v>
      </c>
      <c r="AO84" s="92">
        <v>151030</v>
      </c>
      <c r="AP84" s="63"/>
      <c r="AQ84" s="145">
        <v>10670</v>
      </c>
      <c r="AR84" s="120"/>
      <c r="AS84" s="120"/>
      <c r="AT84" s="147">
        <f t="shared" si="7"/>
        <v>-2.4140358908397056E-2</v>
      </c>
      <c r="AU84" s="147">
        <f t="shared" si="7"/>
        <v>9.5238095238095233E-2</v>
      </c>
      <c r="AV84" s="147">
        <f t="shared" si="7"/>
        <v>1.3513513513513898E-3</v>
      </c>
      <c r="AW84" s="147">
        <f t="shared" si="7"/>
        <v>5.3005607886201407E-2</v>
      </c>
      <c r="AX84" s="147">
        <f t="shared" ref="AX84:AY147" si="8">IFERROR((AN84-AN72)/AN72,"")</f>
        <v>4.7758544163337774E-2</v>
      </c>
      <c r="AY84" s="147">
        <f t="shared" si="8"/>
        <v>-0.21293449372036063</v>
      </c>
      <c r="AZ84" s="147">
        <f t="shared" ref="AZ84:AZ147" si="9">IFERROR((C84-C72)/C72,"")</f>
        <v>-0.11650357916858213</v>
      </c>
      <c r="BA84" s="51"/>
      <c r="BB84" s="113"/>
      <c r="BP84" s="97"/>
      <c r="BQ84" s="97"/>
      <c r="BR84" s="97"/>
      <c r="BS84" s="97"/>
      <c r="BU84" s="113"/>
      <c r="BV84" s="113"/>
      <c r="BW84" s="113"/>
      <c r="BX84" s="113"/>
      <c r="BY84" s="113"/>
    </row>
    <row r="85" spans="1:77" ht="12" customHeight="1" outlineLevel="1">
      <c r="A85" s="49">
        <v>45352</v>
      </c>
      <c r="B85" s="49" t="s">
        <v>67</v>
      </c>
      <c r="C85" s="85">
        <f t="shared" si="5"/>
        <v>238910</v>
      </c>
      <c r="D85" s="86">
        <f>ROUNDDOWN(SUM(E85:Y85),-1)</f>
        <v>165980</v>
      </c>
      <c r="E85" s="87">
        <v>29480</v>
      </c>
      <c r="F85" s="87">
        <v>29720</v>
      </c>
      <c r="G85" s="87">
        <v>13080</v>
      </c>
      <c r="H85" s="87">
        <v>500</v>
      </c>
      <c r="I85" s="87">
        <v>1330</v>
      </c>
      <c r="J85" s="87">
        <v>2670</v>
      </c>
      <c r="K85" s="87">
        <v>410</v>
      </c>
      <c r="L85" s="87">
        <v>2870</v>
      </c>
      <c r="M85" s="87">
        <v>410</v>
      </c>
      <c r="N85" s="87">
        <v>250</v>
      </c>
      <c r="O85" s="87">
        <v>1170</v>
      </c>
      <c r="P85" s="88">
        <v>37590</v>
      </c>
      <c r="Q85" s="87">
        <v>17750</v>
      </c>
      <c r="R85" s="87">
        <v>3230</v>
      </c>
      <c r="S85" s="87"/>
      <c r="T85" s="87">
        <v>0</v>
      </c>
      <c r="U85" s="88">
        <v>9200</v>
      </c>
      <c r="V85" s="87">
        <v>870</v>
      </c>
      <c r="W85" s="89">
        <v>12310</v>
      </c>
      <c r="X85" s="87">
        <v>3000</v>
      </c>
      <c r="Y85" s="87">
        <v>140</v>
      </c>
      <c r="Z85" s="90">
        <v>72930</v>
      </c>
      <c r="AA85" s="123"/>
      <c r="AB85" s="92">
        <v>250</v>
      </c>
      <c r="AC85" s="92">
        <v>8</v>
      </c>
      <c r="AD85" s="93">
        <v>1.1000000000000001</v>
      </c>
      <c r="AE85" s="118">
        <v>74</v>
      </c>
      <c r="AF85" s="92">
        <v>2918</v>
      </c>
      <c r="AG85" s="92">
        <v>74</v>
      </c>
      <c r="AH85" s="123"/>
      <c r="AI85" s="92">
        <v>150.36000000000001</v>
      </c>
      <c r="AJ85" s="92">
        <v>1150</v>
      </c>
      <c r="AK85" s="92">
        <v>127.27272727272727</v>
      </c>
      <c r="AL85" s="92">
        <f t="shared" si="6"/>
        <v>985.54054054054052</v>
      </c>
      <c r="AM85" s="124"/>
      <c r="AN85" s="92">
        <v>119050</v>
      </c>
      <c r="AO85" s="92">
        <v>119860</v>
      </c>
      <c r="AP85" s="148">
        <v>-7580</v>
      </c>
      <c r="AQ85" s="145">
        <v>20000</v>
      </c>
      <c r="AR85" s="145"/>
      <c r="AS85" s="145"/>
      <c r="AT85" s="147">
        <f t="shared" si="7"/>
        <v>1.2973120108880579E-2</v>
      </c>
      <c r="AU85" s="147">
        <f t="shared" si="7"/>
        <v>0</v>
      </c>
      <c r="AV85" s="147">
        <f t="shared" si="7"/>
        <v>-1.8939393939393857E-2</v>
      </c>
      <c r="AW85" s="147">
        <f t="shared" si="7"/>
        <v>5.4629536721696556E-2</v>
      </c>
      <c r="AX85" s="147">
        <f t="shared" si="8"/>
        <v>2.9221059911818104E-2</v>
      </c>
      <c r="AY85" s="147">
        <f t="shared" si="8"/>
        <v>-7.2721646294290579E-2</v>
      </c>
      <c r="AZ85" s="147">
        <f t="shared" si="9"/>
        <v>-2.4578450985995998E-2</v>
      </c>
      <c r="BA85" s="51"/>
      <c r="BB85" s="48"/>
      <c r="BP85" s="97"/>
      <c r="BQ85" s="97"/>
      <c r="BR85" s="97"/>
      <c r="BS85" s="97"/>
      <c r="BU85" s="113"/>
      <c r="BV85" s="113"/>
      <c r="BW85" s="113"/>
      <c r="BX85" s="113"/>
      <c r="BY85" s="113"/>
    </row>
    <row r="86" spans="1:77" ht="12" customHeight="1" outlineLevel="1">
      <c r="A86" s="49">
        <v>45383</v>
      </c>
      <c r="B86" s="49" t="s">
        <v>68</v>
      </c>
      <c r="C86" s="85">
        <f t="shared" si="5"/>
        <v>200520</v>
      </c>
      <c r="D86" s="86">
        <f t="shared" ref="D86:D94" si="10">ROUNDDOWN(SUM(E86:Y86),-1)</f>
        <v>158070</v>
      </c>
      <c r="E86" s="87">
        <v>29270</v>
      </c>
      <c r="F86" s="87">
        <v>30070</v>
      </c>
      <c r="G86" s="87">
        <v>13080</v>
      </c>
      <c r="H86" s="87">
        <v>500</v>
      </c>
      <c r="I86" s="87">
        <v>670</v>
      </c>
      <c r="J86" s="87">
        <v>3830</v>
      </c>
      <c r="K86" s="87">
        <v>410</v>
      </c>
      <c r="L86" s="87">
        <v>2870</v>
      </c>
      <c r="M86" s="87">
        <v>0</v>
      </c>
      <c r="N86" s="87">
        <v>250</v>
      </c>
      <c r="O86" s="87">
        <v>1360</v>
      </c>
      <c r="P86" s="88">
        <v>33880</v>
      </c>
      <c r="Q86" s="87">
        <v>14650</v>
      </c>
      <c r="R86" s="87">
        <v>2950</v>
      </c>
      <c r="S86" s="87"/>
      <c r="T86" s="87">
        <v>0</v>
      </c>
      <c r="U86" s="88">
        <v>6900</v>
      </c>
      <c r="V86" s="87">
        <v>1870</v>
      </c>
      <c r="W86" s="89">
        <v>12310</v>
      </c>
      <c r="X86" s="87">
        <v>3000</v>
      </c>
      <c r="Y86" s="87">
        <v>200</v>
      </c>
      <c r="Z86" s="90">
        <v>42450</v>
      </c>
      <c r="AA86" s="129"/>
      <c r="AB86" s="92">
        <v>207</v>
      </c>
      <c r="AC86" s="92">
        <v>6</v>
      </c>
      <c r="AD86" s="93">
        <v>1.55</v>
      </c>
      <c r="AE86" s="118">
        <v>42</v>
      </c>
      <c r="AF86" s="92">
        <v>2960</v>
      </c>
      <c r="AG86" s="92">
        <v>42</v>
      </c>
      <c r="AH86" s="129"/>
      <c r="AI86" s="92">
        <v>163.67149758454107</v>
      </c>
      <c r="AJ86" s="92">
        <v>1150</v>
      </c>
      <c r="AK86" s="92">
        <v>129.03225806451613</v>
      </c>
      <c r="AL86" s="92">
        <f t="shared" si="6"/>
        <v>1010.7142857142857</v>
      </c>
      <c r="AM86" s="92"/>
      <c r="AN86" s="92">
        <v>117090</v>
      </c>
      <c r="AO86" s="92">
        <v>83430</v>
      </c>
      <c r="AP86" s="148">
        <v>-7580</v>
      </c>
      <c r="AQ86" s="145">
        <v>20000</v>
      </c>
      <c r="AR86" s="145"/>
      <c r="AS86" s="145"/>
      <c r="AT86" s="147">
        <f t="shared" si="7"/>
        <v>0.10259404263113321</v>
      </c>
      <c r="AU86" s="147">
        <f t="shared" si="7"/>
        <v>0</v>
      </c>
      <c r="AV86" s="147" t="str">
        <f t="shared" si="7"/>
        <v/>
      </c>
      <c r="AW86" s="147">
        <f t="shared" si="7"/>
        <v>7.49680582893055E-2</v>
      </c>
      <c r="AX86" s="147">
        <f t="shared" si="8"/>
        <v>5.9733912571273418E-2</v>
      </c>
      <c r="AY86" s="147">
        <f t="shared" si="8"/>
        <v>5.6610942249240119E-2</v>
      </c>
      <c r="AZ86" s="147">
        <f t="shared" si="9"/>
        <v>5.843230403800475E-2</v>
      </c>
      <c r="BA86" s="51"/>
      <c r="BB86" s="113"/>
      <c r="BP86" s="97"/>
      <c r="BQ86" s="97"/>
      <c r="BR86" s="97"/>
      <c r="BS86" s="97"/>
      <c r="BU86" s="113"/>
      <c r="BV86" s="113"/>
      <c r="BW86" s="113"/>
      <c r="BX86" s="113"/>
      <c r="BY86" s="113"/>
    </row>
    <row r="87" spans="1:77" ht="12" customHeight="1" outlineLevel="1">
      <c r="A87" s="49">
        <v>45413</v>
      </c>
      <c r="B87" s="49" t="s">
        <v>69</v>
      </c>
      <c r="C87" s="85">
        <f t="shared" si="5"/>
        <v>178860</v>
      </c>
      <c r="D87" s="86">
        <f t="shared" si="10"/>
        <v>170660</v>
      </c>
      <c r="E87" s="87">
        <v>30580</v>
      </c>
      <c r="F87" s="87">
        <v>30070</v>
      </c>
      <c r="G87" s="87">
        <v>12810</v>
      </c>
      <c r="H87" s="87">
        <v>500</v>
      </c>
      <c r="I87" s="87">
        <v>670</v>
      </c>
      <c r="J87" s="87">
        <v>4650</v>
      </c>
      <c r="K87" s="87">
        <v>410</v>
      </c>
      <c r="L87" s="87">
        <v>1790</v>
      </c>
      <c r="M87" s="87">
        <v>0</v>
      </c>
      <c r="N87" s="87">
        <v>250</v>
      </c>
      <c r="O87" s="87">
        <v>1060</v>
      </c>
      <c r="P87" s="88">
        <v>33360</v>
      </c>
      <c r="Q87" s="87">
        <v>19220</v>
      </c>
      <c r="R87" s="87">
        <v>3320</v>
      </c>
      <c r="S87" s="87"/>
      <c r="T87" s="87">
        <v>0</v>
      </c>
      <c r="U87" s="88">
        <v>8050</v>
      </c>
      <c r="V87" s="87">
        <v>1470</v>
      </c>
      <c r="W87" s="89">
        <v>19050</v>
      </c>
      <c r="X87" s="87">
        <v>3000</v>
      </c>
      <c r="Y87" s="87">
        <v>400</v>
      </c>
      <c r="Z87" s="90">
        <v>8200</v>
      </c>
      <c r="AA87" s="129"/>
      <c r="AB87" s="92">
        <v>227</v>
      </c>
      <c r="AC87" s="92">
        <v>7</v>
      </c>
      <c r="AD87" s="93">
        <v>3.1</v>
      </c>
      <c r="AE87" s="118">
        <v>7</v>
      </c>
      <c r="AF87" s="92">
        <v>2967</v>
      </c>
      <c r="AG87" s="92">
        <v>7</v>
      </c>
      <c r="AH87" s="129"/>
      <c r="AI87" s="92">
        <v>146.96035242290748</v>
      </c>
      <c r="AJ87" s="92">
        <v>1150</v>
      </c>
      <c r="AK87" s="92">
        <v>129.03225806451613</v>
      </c>
      <c r="AL87" s="92">
        <f t="shared" si="6"/>
        <v>1171.4285714285713</v>
      </c>
      <c r="AM87" s="92"/>
      <c r="AN87" s="92">
        <v>128850</v>
      </c>
      <c r="AO87" s="92">
        <v>50010</v>
      </c>
      <c r="AP87" s="166">
        <v>-7580</v>
      </c>
      <c r="AQ87" s="145">
        <v>20000</v>
      </c>
      <c r="AR87" s="145"/>
      <c r="AS87" s="145"/>
      <c r="AT87" s="147">
        <f t="shared" si="7"/>
        <v>-6.8093276803867743E-3</v>
      </c>
      <c r="AU87" s="147">
        <f t="shared" si="7"/>
        <v>0</v>
      </c>
      <c r="AV87" s="147" t="str">
        <f t="shared" si="7"/>
        <v/>
      </c>
      <c r="AW87" s="147">
        <f t="shared" si="7"/>
        <v>0.20904325032765386</v>
      </c>
      <c r="AX87" s="147">
        <f t="shared" si="8"/>
        <v>0.19316603389202705</v>
      </c>
      <c r="AY87" s="147">
        <f t="shared" si="8"/>
        <v>-5.9255079006772009E-2</v>
      </c>
      <c r="AZ87" s="147">
        <f t="shared" si="9"/>
        <v>0.1098976109215017</v>
      </c>
      <c r="BA87" s="51"/>
      <c r="BB87" s="113"/>
      <c r="BP87" s="97"/>
      <c r="BQ87" s="97"/>
      <c r="BR87" s="97"/>
      <c r="BS87" s="97"/>
      <c r="BU87" s="113"/>
      <c r="BV87" s="113"/>
      <c r="BW87" s="113"/>
      <c r="BX87" s="113"/>
      <c r="BY87" s="113"/>
    </row>
    <row r="88" spans="1:77" ht="12" customHeight="1" outlineLevel="1">
      <c r="A88" s="49">
        <v>45444</v>
      </c>
      <c r="B88" s="49" t="s">
        <v>70</v>
      </c>
      <c r="C88" s="85">
        <f t="shared" si="5"/>
        <v>158700</v>
      </c>
      <c r="D88" s="86">
        <f t="shared" si="10"/>
        <v>152460</v>
      </c>
      <c r="E88" s="87">
        <v>27900</v>
      </c>
      <c r="F88" s="87">
        <v>25040</v>
      </c>
      <c r="G88" s="87">
        <v>12550</v>
      </c>
      <c r="H88" s="87">
        <v>500</v>
      </c>
      <c r="I88" s="87">
        <v>670</v>
      </c>
      <c r="J88" s="87">
        <v>4110</v>
      </c>
      <c r="K88" s="87">
        <v>410</v>
      </c>
      <c r="L88" s="87">
        <v>1790</v>
      </c>
      <c r="M88" s="87">
        <v>400</v>
      </c>
      <c r="N88" s="87">
        <v>250</v>
      </c>
      <c r="O88" s="87">
        <v>1170</v>
      </c>
      <c r="P88" s="88">
        <v>28520</v>
      </c>
      <c r="Q88" s="87">
        <v>13020</v>
      </c>
      <c r="R88" s="87">
        <v>3230</v>
      </c>
      <c r="S88" s="87"/>
      <c r="T88" s="87">
        <v>0</v>
      </c>
      <c r="U88" s="88">
        <v>9200</v>
      </c>
      <c r="V88" s="87">
        <v>1490</v>
      </c>
      <c r="W88" s="89">
        <v>19050</v>
      </c>
      <c r="X88" s="87">
        <v>3000</v>
      </c>
      <c r="Y88" s="87">
        <v>160</v>
      </c>
      <c r="Z88" s="90">
        <v>6240</v>
      </c>
      <c r="AA88" s="129"/>
      <c r="AB88" s="92">
        <v>201</v>
      </c>
      <c r="AC88" s="92">
        <v>8</v>
      </c>
      <c r="AD88" s="128">
        <v>1.25</v>
      </c>
      <c r="AE88" s="118">
        <v>5</v>
      </c>
      <c r="AF88" s="92">
        <v>2972</v>
      </c>
      <c r="AG88" s="92">
        <v>5</v>
      </c>
      <c r="AH88" s="129"/>
      <c r="AI88" s="92">
        <v>141.89054726368158</v>
      </c>
      <c r="AJ88" s="92">
        <v>1150</v>
      </c>
      <c r="AK88" s="92">
        <v>128</v>
      </c>
      <c r="AL88" s="92">
        <f t="shared" si="6"/>
        <v>1248</v>
      </c>
      <c r="AM88" s="92"/>
      <c r="AN88" s="92">
        <v>114580</v>
      </c>
      <c r="AO88" s="92">
        <v>44120</v>
      </c>
      <c r="AP88" s="166">
        <v>-7580</v>
      </c>
      <c r="AQ88" s="145">
        <v>20000</v>
      </c>
      <c r="AR88" s="145"/>
      <c r="AS88" s="145"/>
      <c r="AT88" s="147">
        <f t="shared" si="7"/>
        <v>-4.5899592293834751E-2</v>
      </c>
      <c r="AU88" s="147">
        <f t="shared" si="7"/>
        <v>0</v>
      </c>
      <c r="AV88" s="147">
        <f t="shared" si="7"/>
        <v>0.28000000000000003</v>
      </c>
      <c r="AW88" s="147">
        <f t="shared" si="7"/>
        <v>0.16947791164658638</v>
      </c>
      <c r="AX88" s="147">
        <f t="shared" si="8"/>
        <v>7.8603031158806361E-2</v>
      </c>
      <c r="AY88" s="147">
        <f t="shared" si="8"/>
        <v>1.776239907727797E-2</v>
      </c>
      <c r="AZ88" s="147">
        <f t="shared" si="9"/>
        <v>6.0970718010429199E-2</v>
      </c>
      <c r="BA88" s="51"/>
      <c r="BB88" s="48"/>
      <c r="BP88" s="97"/>
      <c r="BQ88" s="97"/>
      <c r="BR88" s="97"/>
      <c r="BS88" s="97"/>
      <c r="BU88" s="113"/>
      <c r="BV88" s="113"/>
      <c r="BW88" s="113"/>
      <c r="BX88" s="113"/>
      <c r="BY88" s="113"/>
    </row>
    <row r="89" spans="1:77" ht="12" customHeight="1" outlineLevel="1">
      <c r="A89" s="49">
        <v>45474</v>
      </c>
      <c r="B89" s="49" t="s">
        <v>71</v>
      </c>
      <c r="C89" s="85">
        <f t="shared" si="5"/>
        <v>166050</v>
      </c>
      <c r="D89" s="86">
        <f t="shared" si="10"/>
        <v>161760</v>
      </c>
      <c r="E89" s="87">
        <v>28940</v>
      </c>
      <c r="F89" s="87">
        <v>25060</v>
      </c>
      <c r="G89" s="87">
        <v>13110</v>
      </c>
      <c r="H89" s="87">
        <v>500</v>
      </c>
      <c r="I89" s="87">
        <v>670</v>
      </c>
      <c r="J89" s="87">
        <v>5040</v>
      </c>
      <c r="K89" s="87">
        <v>410</v>
      </c>
      <c r="L89" s="87">
        <v>1790</v>
      </c>
      <c r="M89" s="87">
        <v>0</v>
      </c>
      <c r="N89" s="87">
        <v>250</v>
      </c>
      <c r="O89" s="87">
        <v>1120</v>
      </c>
      <c r="P89" s="88">
        <v>30690</v>
      </c>
      <c r="Q89" s="87">
        <v>15060</v>
      </c>
      <c r="R89" s="87">
        <v>5900</v>
      </c>
      <c r="S89" s="87"/>
      <c r="T89" s="87">
        <v>0</v>
      </c>
      <c r="U89" s="88">
        <v>9200</v>
      </c>
      <c r="V89" s="87">
        <v>1540</v>
      </c>
      <c r="W89" s="89">
        <v>19050</v>
      </c>
      <c r="X89" s="87">
        <v>3000</v>
      </c>
      <c r="Y89" s="87">
        <v>430</v>
      </c>
      <c r="Z89" s="90">
        <v>4290</v>
      </c>
      <c r="AA89" s="123"/>
      <c r="AB89" s="92">
        <v>211</v>
      </c>
      <c r="AC89" s="92">
        <v>8</v>
      </c>
      <c r="AD89" s="128">
        <v>3.35</v>
      </c>
      <c r="AE89" s="118">
        <v>3</v>
      </c>
      <c r="AF89" s="92">
        <v>2975</v>
      </c>
      <c r="AG89" s="92">
        <v>3</v>
      </c>
      <c r="AH89" s="123"/>
      <c r="AI89" s="92">
        <v>145.45023696682463</v>
      </c>
      <c r="AJ89" s="92">
        <v>1150</v>
      </c>
      <c r="AK89" s="92">
        <v>128.35820895522389</v>
      </c>
      <c r="AL89" s="92">
        <f t="shared" si="6"/>
        <v>1430</v>
      </c>
      <c r="AM89" s="124"/>
      <c r="AN89" s="92">
        <v>121440</v>
      </c>
      <c r="AO89" s="92">
        <v>44610</v>
      </c>
      <c r="AP89" s="166">
        <v>-7580</v>
      </c>
      <c r="AQ89" s="145">
        <v>20000</v>
      </c>
      <c r="AR89" s="145"/>
      <c r="AS89" s="145"/>
      <c r="AT89" s="147">
        <f t="shared" si="7"/>
        <v>-6.7232447922407179E-2</v>
      </c>
      <c r="AU89" s="147">
        <f t="shared" si="7"/>
        <v>0</v>
      </c>
      <c r="AV89" s="147">
        <f t="shared" si="7"/>
        <v>0.1002132196162047</v>
      </c>
      <c r="AW89" s="147">
        <f t="shared" si="7"/>
        <v>0.21702127659574469</v>
      </c>
      <c r="AX89" s="147">
        <f t="shared" si="8"/>
        <v>0.10641399416909621</v>
      </c>
      <c r="AY89" s="147">
        <f t="shared" si="8"/>
        <v>0.11385767790262172</v>
      </c>
      <c r="AZ89" s="147">
        <f t="shared" si="9"/>
        <v>0.10840397837260531</v>
      </c>
      <c r="BA89" s="51"/>
      <c r="BB89" s="113"/>
      <c r="BP89" s="97"/>
      <c r="BQ89" s="97"/>
      <c r="BR89" s="97"/>
      <c r="BS89" s="97"/>
      <c r="BU89" s="113"/>
      <c r="BV89" s="113"/>
      <c r="BW89" s="113"/>
      <c r="BX89" s="113"/>
      <c r="BY89" s="113"/>
    </row>
    <row r="90" spans="1:77" ht="12" customHeight="1" outlineLevel="1">
      <c r="A90" s="49">
        <v>45505</v>
      </c>
      <c r="B90" s="49" t="s">
        <v>72</v>
      </c>
      <c r="C90" s="85">
        <f t="shared" si="5"/>
        <v>174550</v>
      </c>
      <c r="D90" s="86">
        <f t="shared" si="10"/>
        <v>172200</v>
      </c>
      <c r="E90" s="87">
        <v>30560</v>
      </c>
      <c r="F90" s="87">
        <v>24760</v>
      </c>
      <c r="G90" s="87">
        <v>12790</v>
      </c>
      <c r="H90" s="87">
        <v>500</v>
      </c>
      <c r="I90" s="87">
        <v>670</v>
      </c>
      <c r="J90" s="87">
        <v>6330</v>
      </c>
      <c r="K90" s="87">
        <v>410</v>
      </c>
      <c r="L90" s="87">
        <v>1790</v>
      </c>
      <c r="M90" s="87">
        <v>0</v>
      </c>
      <c r="N90" s="87">
        <v>250</v>
      </c>
      <c r="O90" s="87">
        <v>1160</v>
      </c>
      <c r="P90" s="88">
        <v>38750</v>
      </c>
      <c r="Q90" s="87">
        <v>16630</v>
      </c>
      <c r="R90" s="87">
        <v>5880</v>
      </c>
      <c r="S90" s="87"/>
      <c r="T90" s="87">
        <v>0</v>
      </c>
      <c r="U90" s="88">
        <v>8050</v>
      </c>
      <c r="V90" s="87">
        <v>1500</v>
      </c>
      <c r="W90" s="89">
        <v>19050</v>
      </c>
      <c r="X90" s="87">
        <v>3000</v>
      </c>
      <c r="Y90" s="87">
        <v>120</v>
      </c>
      <c r="Z90" s="90">
        <v>2350</v>
      </c>
      <c r="AA90" s="123"/>
      <c r="AB90" s="92">
        <v>255</v>
      </c>
      <c r="AC90" s="92">
        <v>7</v>
      </c>
      <c r="AD90" s="128">
        <v>0.95</v>
      </c>
      <c r="AE90" s="118">
        <v>1</v>
      </c>
      <c r="AF90" s="92">
        <v>2976</v>
      </c>
      <c r="AG90" s="92">
        <v>1</v>
      </c>
      <c r="AH90" s="123"/>
      <c r="AI90" s="92">
        <v>151.9607843137255</v>
      </c>
      <c r="AJ90" s="92">
        <v>1150</v>
      </c>
      <c r="AK90" s="92">
        <v>126.31578947368422</v>
      </c>
      <c r="AL90" s="92">
        <f t="shared" si="6"/>
        <v>2350</v>
      </c>
      <c r="AM90" s="124"/>
      <c r="AN90" s="92">
        <v>125280</v>
      </c>
      <c r="AO90" s="92">
        <v>49270</v>
      </c>
      <c r="AP90" s="166">
        <v>-7580</v>
      </c>
      <c r="AQ90" s="145">
        <v>20000</v>
      </c>
      <c r="AR90" s="145"/>
      <c r="AS90" s="145"/>
      <c r="AT90" s="147">
        <f t="shared" si="7"/>
        <v>-0.10360211500330462</v>
      </c>
      <c r="AU90" s="147">
        <f t="shared" si="7"/>
        <v>0</v>
      </c>
      <c r="AV90" s="147">
        <f t="shared" si="7"/>
        <v>-2.1052631578947292E-2</v>
      </c>
      <c r="AW90" s="147">
        <f t="shared" si="7"/>
        <v>0.78934010152284273</v>
      </c>
      <c r="AX90" s="147">
        <f t="shared" si="8"/>
        <v>0.14630798792204228</v>
      </c>
      <c r="AY90" s="147">
        <f t="shared" si="8"/>
        <v>-1.852589641434263E-2</v>
      </c>
      <c r="AZ90" s="147">
        <f t="shared" si="9"/>
        <v>9.4425982820239507E-2</v>
      </c>
      <c r="BA90" s="51"/>
      <c r="BB90" s="113"/>
      <c r="BP90" s="97"/>
      <c r="BQ90" s="97"/>
      <c r="BR90" s="97"/>
      <c r="BS90" s="97"/>
      <c r="BU90" s="113"/>
      <c r="BV90" s="113"/>
      <c r="BW90" s="113"/>
      <c r="BX90" s="113"/>
      <c r="BY90" s="113"/>
    </row>
    <row r="91" spans="1:77" ht="12" customHeight="1" outlineLevel="1">
      <c r="A91" s="49">
        <v>45536</v>
      </c>
      <c r="B91" s="49" t="s">
        <v>73</v>
      </c>
      <c r="C91" s="85">
        <f t="shared" si="5"/>
        <v>190910</v>
      </c>
      <c r="D91" s="86">
        <f t="shared" si="10"/>
        <v>189540</v>
      </c>
      <c r="E91" s="87">
        <v>28940</v>
      </c>
      <c r="F91" s="87">
        <v>25060</v>
      </c>
      <c r="G91" s="87">
        <v>13070</v>
      </c>
      <c r="H91" s="87">
        <v>500</v>
      </c>
      <c r="I91" s="87">
        <v>670</v>
      </c>
      <c r="J91" s="87">
        <v>6810</v>
      </c>
      <c r="K91" s="87">
        <v>410</v>
      </c>
      <c r="L91" s="87">
        <v>1790</v>
      </c>
      <c r="M91" s="87">
        <v>0</v>
      </c>
      <c r="N91" s="87">
        <v>250</v>
      </c>
      <c r="O91" s="87">
        <v>1140</v>
      </c>
      <c r="P91" s="88">
        <v>55040</v>
      </c>
      <c r="Q91" s="87">
        <v>18240</v>
      </c>
      <c r="R91" s="87">
        <v>5950</v>
      </c>
      <c r="S91" s="87"/>
      <c r="T91" s="87">
        <v>0</v>
      </c>
      <c r="U91" s="88">
        <v>8050</v>
      </c>
      <c r="V91" s="87">
        <v>1450</v>
      </c>
      <c r="W91" s="89">
        <v>19050</v>
      </c>
      <c r="X91" s="87">
        <v>3000</v>
      </c>
      <c r="Y91" s="87">
        <v>120</v>
      </c>
      <c r="Z91" s="90">
        <v>1370</v>
      </c>
      <c r="AA91" s="129"/>
      <c r="AB91" s="92">
        <v>363</v>
      </c>
      <c r="AC91" s="92">
        <v>7</v>
      </c>
      <c r="AD91" s="128">
        <v>1.3</v>
      </c>
      <c r="AE91" s="118">
        <v>0.49</v>
      </c>
      <c r="AF91" s="92">
        <v>2976.1</v>
      </c>
      <c r="AG91" s="92">
        <v>9.9999999999909051E-2</v>
      </c>
      <c r="AH91" s="129"/>
      <c r="AI91" s="92">
        <v>151.62534435261708</v>
      </c>
      <c r="AJ91" s="92">
        <v>1150</v>
      </c>
      <c r="AK91" s="92">
        <v>92.307692307692307</v>
      </c>
      <c r="AL91" s="92">
        <f t="shared" si="6"/>
        <v>2795.9183673469388</v>
      </c>
      <c r="AM91" s="124"/>
      <c r="AN91" s="92">
        <v>126330</v>
      </c>
      <c r="AO91" s="92">
        <v>64580</v>
      </c>
      <c r="AP91" s="166">
        <v>-7580</v>
      </c>
      <c r="AQ91" s="145">
        <v>20000</v>
      </c>
      <c r="AR91" s="145"/>
      <c r="AS91" s="145"/>
      <c r="AT91" s="147">
        <f t="shared" si="7"/>
        <v>-6.9426348430428372E-2</v>
      </c>
      <c r="AU91" s="147">
        <f t="shared" si="7"/>
        <v>0</v>
      </c>
      <c r="AV91" s="147">
        <f t="shared" si="7"/>
        <v>-0.24999999999999994</v>
      </c>
      <c r="AW91" s="147">
        <f t="shared" si="7"/>
        <v>0.88913403199117491</v>
      </c>
      <c r="AX91" s="147">
        <f t="shared" si="8"/>
        <v>0.10005224660397075</v>
      </c>
      <c r="AY91" s="147">
        <f t="shared" si="8"/>
        <v>2.0060022113410205E-2</v>
      </c>
      <c r="AZ91" s="147">
        <f t="shared" si="9"/>
        <v>7.1625035082795399E-2</v>
      </c>
      <c r="BA91" s="51"/>
      <c r="BB91" s="113"/>
      <c r="BP91" s="97"/>
      <c r="BQ91" s="97"/>
      <c r="BR91" s="97"/>
      <c r="BS91" s="97"/>
      <c r="BU91" s="113"/>
      <c r="BV91" s="113"/>
      <c r="BW91" s="113"/>
      <c r="BX91" s="113"/>
      <c r="BY91" s="113"/>
    </row>
    <row r="92" spans="1:77" ht="12" customHeight="1" outlineLevel="1" collapsed="1">
      <c r="A92" s="49">
        <v>45566</v>
      </c>
      <c r="B92" s="49" t="s">
        <v>74</v>
      </c>
      <c r="C92" s="85">
        <f t="shared" si="5"/>
        <v>195670</v>
      </c>
      <c r="D92" s="86">
        <f t="shared" si="10"/>
        <v>194300</v>
      </c>
      <c r="E92" s="87">
        <v>28360</v>
      </c>
      <c r="F92" s="87">
        <v>25060</v>
      </c>
      <c r="G92" s="87">
        <v>12930</v>
      </c>
      <c r="H92" s="87">
        <v>500</v>
      </c>
      <c r="I92" s="87">
        <v>670</v>
      </c>
      <c r="J92" s="87">
        <v>7920</v>
      </c>
      <c r="K92" s="87">
        <v>410</v>
      </c>
      <c r="L92" s="87">
        <v>1790</v>
      </c>
      <c r="M92" s="87">
        <v>0</v>
      </c>
      <c r="N92" s="87">
        <v>250</v>
      </c>
      <c r="O92" s="87">
        <v>1040</v>
      </c>
      <c r="P92" s="88">
        <v>58610</v>
      </c>
      <c r="Q92" s="87">
        <v>19560</v>
      </c>
      <c r="R92" s="87">
        <v>6490</v>
      </c>
      <c r="S92" s="87"/>
      <c r="T92" s="87">
        <v>0</v>
      </c>
      <c r="U92" s="88">
        <v>8050</v>
      </c>
      <c r="V92" s="87">
        <v>610</v>
      </c>
      <c r="W92" s="89">
        <v>19050</v>
      </c>
      <c r="X92" s="87">
        <v>3000</v>
      </c>
      <c r="Y92" s="87">
        <v>0</v>
      </c>
      <c r="Z92" s="90">
        <v>1370</v>
      </c>
      <c r="AA92" s="123"/>
      <c r="AB92" s="92">
        <v>371</v>
      </c>
      <c r="AC92" s="92">
        <v>7</v>
      </c>
      <c r="AD92" s="128">
        <v>0</v>
      </c>
      <c r="AE92" s="118">
        <v>0.49</v>
      </c>
      <c r="AF92" s="92">
        <v>2976.3</v>
      </c>
      <c r="AG92" s="92">
        <v>0.20000000000027285</v>
      </c>
      <c r="AH92" s="123"/>
      <c r="AI92" s="92">
        <v>157.97843665768195</v>
      </c>
      <c r="AJ92" s="92">
        <v>1150</v>
      </c>
      <c r="AK92" s="92" t="s">
        <v>86</v>
      </c>
      <c r="AL92" s="92">
        <f t="shared" si="6"/>
        <v>2795.9183673469388</v>
      </c>
      <c r="AM92" s="124"/>
      <c r="AN92" s="92">
        <v>127640</v>
      </c>
      <c r="AO92" s="92">
        <v>68030</v>
      </c>
      <c r="AP92" s="166">
        <v>-7580</v>
      </c>
      <c r="AQ92" s="145">
        <v>20000</v>
      </c>
      <c r="AR92" s="145"/>
      <c r="AS92" s="145"/>
      <c r="AT92" s="147">
        <f t="shared" si="7"/>
        <v>7.810566421104231E-3</v>
      </c>
      <c r="AU92" s="147">
        <f t="shared" si="7"/>
        <v>0</v>
      </c>
      <c r="AV92" s="147" t="str">
        <f t="shared" si="7"/>
        <v/>
      </c>
      <c r="AW92" s="147">
        <f t="shared" si="7"/>
        <v>1.1397334443981673</v>
      </c>
      <c r="AX92" s="147">
        <f t="shared" si="8"/>
        <v>0.13852466327713853</v>
      </c>
      <c r="AY92" s="147">
        <f t="shared" si="8"/>
        <v>0.13496830163496831</v>
      </c>
      <c r="AZ92" s="147">
        <f t="shared" si="9"/>
        <v>0.13728567276954373</v>
      </c>
      <c r="BA92" s="51"/>
      <c r="BB92" s="113"/>
      <c r="BP92" s="97"/>
      <c r="BQ92" s="97"/>
      <c r="BR92" s="97"/>
      <c r="BS92" s="97"/>
      <c r="BU92" s="113"/>
      <c r="BV92" s="113"/>
      <c r="BW92" s="113"/>
      <c r="BX92" s="113"/>
      <c r="BY92" s="113"/>
    </row>
    <row r="93" spans="1:77" ht="12" customHeight="1" outlineLevel="1">
      <c r="A93" s="49">
        <v>45597</v>
      </c>
      <c r="B93" s="49" t="s">
        <v>63</v>
      </c>
      <c r="C93" s="85">
        <f t="shared" si="5"/>
        <v>193350</v>
      </c>
      <c r="D93" s="86">
        <f t="shared" si="10"/>
        <v>186750</v>
      </c>
      <c r="E93" s="87">
        <v>29360</v>
      </c>
      <c r="F93" s="87">
        <v>24940</v>
      </c>
      <c r="G93" s="87">
        <v>13110</v>
      </c>
      <c r="H93" s="87">
        <v>0</v>
      </c>
      <c r="I93" s="87">
        <v>670</v>
      </c>
      <c r="J93" s="87">
        <v>9580</v>
      </c>
      <c r="K93" s="87">
        <v>410</v>
      </c>
      <c r="L93" s="87">
        <v>1790</v>
      </c>
      <c r="M93" s="87">
        <v>150</v>
      </c>
      <c r="N93" s="87">
        <v>250</v>
      </c>
      <c r="O93" s="87">
        <v>730</v>
      </c>
      <c r="P93" s="88">
        <v>47440</v>
      </c>
      <c r="Q93" s="87">
        <v>17990</v>
      </c>
      <c r="R93" s="87">
        <v>6650</v>
      </c>
      <c r="S93" s="87"/>
      <c r="T93" s="87">
        <v>0</v>
      </c>
      <c r="U93" s="88">
        <v>9200</v>
      </c>
      <c r="V93" s="87">
        <v>2430</v>
      </c>
      <c r="W93" s="89">
        <v>19050</v>
      </c>
      <c r="X93" s="87">
        <v>3000</v>
      </c>
      <c r="Y93" s="87">
        <v>0</v>
      </c>
      <c r="Z93" s="90">
        <v>6600</v>
      </c>
      <c r="AA93" s="123"/>
      <c r="AB93" s="92">
        <v>291</v>
      </c>
      <c r="AC93" s="92">
        <v>8</v>
      </c>
      <c r="AD93" s="128">
        <v>0</v>
      </c>
      <c r="AE93" s="118">
        <v>5</v>
      </c>
      <c r="AF93" s="92">
        <v>2981</v>
      </c>
      <c r="AG93" s="92">
        <v>4.6999999999998181</v>
      </c>
      <c r="AH93" s="123"/>
      <c r="AI93" s="92">
        <f t="shared" ref="AI93:AI113" si="11">P93/AB93</f>
        <v>163.02405498281786</v>
      </c>
      <c r="AJ93" s="92">
        <f>U93/AC93</f>
        <v>1150</v>
      </c>
      <c r="AK93" s="92" t="s">
        <v>86</v>
      </c>
      <c r="AL93" s="92">
        <f t="shared" si="6"/>
        <v>1320</v>
      </c>
      <c r="AM93" s="124"/>
      <c r="AN93" s="92">
        <v>130110</v>
      </c>
      <c r="AO93" s="92">
        <v>63240</v>
      </c>
      <c r="AP93" s="166">
        <v>-7580</v>
      </c>
      <c r="AQ93" s="145">
        <v>20000</v>
      </c>
      <c r="AR93" s="145"/>
      <c r="AS93" s="145"/>
      <c r="AT93" s="147">
        <f t="shared" si="7"/>
        <v>-4.7596310363537828E-2</v>
      </c>
      <c r="AU93" s="147">
        <f t="shared" si="7"/>
        <v>0</v>
      </c>
      <c r="AV93" s="147" t="str">
        <f t="shared" si="7"/>
        <v/>
      </c>
      <c r="AW93" s="147">
        <f t="shared" si="7"/>
        <v>0.23996584116140057</v>
      </c>
      <c r="AX93" s="147">
        <f t="shared" si="8"/>
        <v>0.2057530075042672</v>
      </c>
      <c r="AY93" s="147">
        <f t="shared" si="8"/>
        <v>0.11103145528016514</v>
      </c>
      <c r="AZ93" s="147">
        <f t="shared" si="9"/>
        <v>0.17702562853838194</v>
      </c>
      <c r="BA93" s="51"/>
      <c r="BB93" s="113"/>
      <c r="BP93" s="97"/>
      <c r="BQ93" s="97"/>
      <c r="BR93" s="97"/>
      <c r="BS93" s="97"/>
      <c r="BU93" s="113"/>
      <c r="BV93" s="113"/>
      <c r="BW93" s="113"/>
      <c r="BX93" s="113"/>
      <c r="BY93" s="113"/>
    </row>
    <row r="94" spans="1:77" ht="12" customHeight="1" outlineLevel="1">
      <c r="A94" s="52">
        <v>45627</v>
      </c>
      <c r="B94" s="52" t="s">
        <v>64</v>
      </c>
      <c r="C94" s="131">
        <f t="shared" si="5"/>
        <v>212290</v>
      </c>
      <c r="D94" s="132">
        <f t="shared" si="10"/>
        <v>165010</v>
      </c>
      <c r="E94" s="133">
        <v>29080</v>
      </c>
      <c r="F94" s="133">
        <v>25040</v>
      </c>
      <c r="G94" s="133">
        <v>13110</v>
      </c>
      <c r="H94" s="133">
        <v>490</v>
      </c>
      <c r="I94" s="133">
        <v>670</v>
      </c>
      <c r="J94" s="133">
        <v>10080</v>
      </c>
      <c r="K94" s="133">
        <v>410</v>
      </c>
      <c r="L94" s="133">
        <v>1790</v>
      </c>
      <c r="M94" s="133">
        <v>120</v>
      </c>
      <c r="N94" s="133">
        <v>290</v>
      </c>
      <c r="O94" s="133">
        <v>1120</v>
      </c>
      <c r="P94" s="134">
        <v>29830</v>
      </c>
      <c r="Q94" s="133">
        <v>16640</v>
      </c>
      <c r="R94" s="133">
        <v>5870</v>
      </c>
      <c r="S94" s="133"/>
      <c r="T94" s="133">
        <v>0</v>
      </c>
      <c r="U94" s="134">
        <v>6900</v>
      </c>
      <c r="V94" s="133">
        <v>1520</v>
      </c>
      <c r="W94" s="135">
        <v>19050</v>
      </c>
      <c r="X94" s="133">
        <f>X93</f>
        <v>3000</v>
      </c>
      <c r="Y94" s="133">
        <v>0</v>
      </c>
      <c r="Z94" s="136">
        <v>47280</v>
      </c>
      <c r="AA94" s="137"/>
      <c r="AB94" s="138">
        <v>208</v>
      </c>
      <c r="AC94" s="138">
        <v>6</v>
      </c>
      <c r="AD94" s="139">
        <v>0</v>
      </c>
      <c r="AE94" s="140">
        <v>44</v>
      </c>
      <c r="AF94" s="138">
        <v>3025</v>
      </c>
      <c r="AG94" s="138">
        <f t="shared" ref="AG94:AG113" si="12">AF94-AF93</f>
        <v>44</v>
      </c>
      <c r="AH94" s="137"/>
      <c r="AI94" s="138">
        <f t="shared" si="11"/>
        <v>143.41346153846155</v>
      </c>
      <c r="AJ94" s="138">
        <f>U94/AC94</f>
        <v>1150</v>
      </c>
      <c r="AK94" s="138" t="str">
        <f t="shared" ref="AK94:AK113" si="13">IFERROR(Y94/AD94,"")</f>
        <v/>
      </c>
      <c r="AL94" s="138">
        <f t="shared" si="6"/>
        <v>1074.5454545454545</v>
      </c>
      <c r="AM94" s="137"/>
      <c r="AN94" s="138">
        <f>SUM(E94:O94,Q94:R94,T94,V94:X94,BM76,BP94:BS94)</f>
        <v>128280</v>
      </c>
      <c r="AO94" s="138">
        <f>SUM(P94,S94,U94,BK76:BL76,BO94,Y94:Z94)</f>
        <v>84010</v>
      </c>
      <c r="AP94" s="167">
        <v>-7580</v>
      </c>
      <c r="AQ94" s="141">
        <v>20000</v>
      </c>
      <c r="AR94" s="141"/>
      <c r="AS94" s="141"/>
      <c r="AT94" s="151">
        <f t="shared" si="7"/>
        <v>-0.13951923076923067</v>
      </c>
      <c r="AU94" s="151">
        <f t="shared" si="7"/>
        <v>0</v>
      </c>
      <c r="AV94" s="151" t="str">
        <f t="shared" si="7"/>
        <v/>
      </c>
      <c r="AW94" s="151">
        <f>IFERROR((AL94-AL82)/AL82,"")</f>
        <v>8.7293027976907966E-2</v>
      </c>
      <c r="AX94" s="151">
        <f t="shared" si="8"/>
        <v>0.17515573470135581</v>
      </c>
      <c r="AY94" s="151">
        <f t="shared" si="8"/>
        <v>-0.36447537635222027</v>
      </c>
      <c r="AZ94" s="151">
        <f t="shared" si="9"/>
        <v>-0.12040604930598715</v>
      </c>
      <c r="BA94" s="51"/>
      <c r="BB94" s="113"/>
      <c r="BO94" s="96"/>
      <c r="BP94" s="97"/>
      <c r="BQ94" s="97"/>
      <c r="BR94" s="97"/>
      <c r="BS94" s="97"/>
      <c r="BU94" s="113"/>
      <c r="BV94" s="113"/>
      <c r="BW94" s="113"/>
      <c r="BX94" s="113"/>
      <c r="BY94" s="113"/>
    </row>
    <row r="95" spans="1:77" ht="12" customHeight="1" outlineLevel="1">
      <c r="A95" s="49">
        <v>45658</v>
      </c>
      <c r="B95" s="49" t="s">
        <v>65</v>
      </c>
      <c r="C95" s="85">
        <f t="shared" si="5"/>
        <v>277090</v>
      </c>
      <c r="D95" s="86">
        <f>ROUNDDOWN(SUM(E95:Y95),-1)</f>
        <v>165470</v>
      </c>
      <c r="E95" s="87">
        <v>28580</v>
      </c>
      <c r="F95" s="87">
        <v>25050</v>
      </c>
      <c r="G95" s="87">
        <v>13110</v>
      </c>
      <c r="H95" s="87">
        <v>490</v>
      </c>
      <c r="I95" s="87">
        <v>670</v>
      </c>
      <c r="J95" s="87">
        <v>7990</v>
      </c>
      <c r="K95" s="87">
        <v>410</v>
      </c>
      <c r="L95" s="87">
        <v>1790</v>
      </c>
      <c r="M95" s="87">
        <v>0</v>
      </c>
      <c r="N95" s="87">
        <v>290</v>
      </c>
      <c r="O95" s="87">
        <v>1100</v>
      </c>
      <c r="P95" s="88">
        <v>31400</v>
      </c>
      <c r="Q95" s="87">
        <v>17260</v>
      </c>
      <c r="R95" s="87">
        <v>5630</v>
      </c>
      <c r="S95" s="87"/>
      <c r="T95" s="87">
        <v>0</v>
      </c>
      <c r="U95" s="88">
        <v>8050</v>
      </c>
      <c r="V95" s="87">
        <v>1600</v>
      </c>
      <c r="W95" s="89">
        <v>19050</v>
      </c>
      <c r="X95" s="87">
        <v>3000</v>
      </c>
      <c r="Y95" s="87">
        <v>0</v>
      </c>
      <c r="Z95" s="90">
        <v>111620</v>
      </c>
      <c r="AA95" s="124"/>
      <c r="AB95" s="92">
        <v>215</v>
      </c>
      <c r="AC95" s="92">
        <v>7</v>
      </c>
      <c r="AD95" s="128">
        <v>0</v>
      </c>
      <c r="AE95" s="118">
        <v>109</v>
      </c>
      <c r="AF95" s="92">
        <v>3134</v>
      </c>
      <c r="AG95" s="92">
        <f t="shared" si="12"/>
        <v>109</v>
      </c>
      <c r="AH95" s="124"/>
      <c r="AI95" s="160">
        <f t="shared" si="11"/>
        <v>146.04651162790697</v>
      </c>
      <c r="AJ95" s="92">
        <f t="shared" ref="AJ95:AJ158" si="14">U95/AC95</f>
        <v>1150</v>
      </c>
      <c r="AK95" s="92" t="str">
        <f t="shared" si="13"/>
        <v/>
      </c>
      <c r="AL95" s="160">
        <f t="shared" si="6"/>
        <v>1024.0366972477063</v>
      </c>
      <c r="AM95" s="124"/>
      <c r="AN95" s="92">
        <f>SUM(E95:O95,Q95:R95,T95,V95:X95,BM77,BP95:BS95)</f>
        <v>126020</v>
      </c>
      <c r="AO95" s="92">
        <f>SUM(P95,S95,U95,BK77:BL77,BO95,Y95:Z95)</f>
        <v>151070</v>
      </c>
      <c r="AP95" s="168"/>
      <c r="AQ95" s="145">
        <v>0</v>
      </c>
      <c r="AR95" s="145"/>
      <c r="AS95" s="145"/>
      <c r="AT95" s="147">
        <f t="shared" si="7"/>
        <v>-9.3562833863918421E-2</v>
      </c>
      <c r="AU95" s="147">
        <f t="shared" si="7"/>
        <v>0</v>
      </c>
      <c r="AV95" s="147" t="str">
        <f t="shared" si="7"/>
        <v/>
      </c>
      <c r="AW95" s="147">
        <f t="shared" si="7"/>
        <v>2.1992711824058226E-2</v>
      </c>
      <c r="AX95" s="165">
        <f t="shared" si="8"/>
        <v>0.12347329945618259</v>
      </c>
      <c r="AY95" s="165">
        <f t="shared" si="8"/>
        <v>0.63089711756450395</v>
      </c>
      <c r="AZ95" s="165">
        <f t="shared" si="9"/>
        <v>0.35297851562499999</v>
      </c>
      <c r="BA95" s="51"/>
      <c r="BB95" s="113"/>
      <c r="BO95" s="96"/>
      <c r="BP95" s="97"/>
      <c r="BQ95" s="97"/>
      <c r="BR95" s="97"/>
      <c r="BS95" s="97"/>
      <c r="BU95" s="113"/>
      <c r="BV95" s="113"/>
      <c r="BW95" s="113"/>
      <c r="BX95" s="113"/>
      <c r="BY95" s="113"/>
    </row>
    <row r="96" spans="1:77" ht="12" customHeight="1" outlineLevel="1">
      <c r="A96" s="49">
        <v>45689</v>
      </c>
      <c r="B96" s="49" t="s">
        <v>66</v>
      </c>
      <c r="C96" s="85">
        <f t="shared" si="5"/>
        <v>329190</v>
      </c>
      <c r="D96" s="86">
        <f>ROUNDDOWN(SUM(E96:Y96),-1)</f>
        <v>179010</v>
      </c>
      <c r="E96" s="87">
        <v>32240</v>
      </c>
      <c r="F96" s="87">
        <v>24040</v>
      </c>
      <c r="G96" s="87">
        <v>13410</v>
      </c>
      <c r="H96" s="87">
        <v>490</v>
      </c>
      <c r="I96" s="87">
        <v>670</v>
      </c>
      <c r="J96" s="87">
        <v>5260</v>
      </c>
      <c r="K96" s="87">
        <v>410</v>
      </c>
      <c r="L96" s="87">
        <v>1790</v>
      </c>
      <c r="M96" s="87">
        <v>0</v>
      </c>
      <c r="N96" s="87">
        <v>290</v>
      </c>
      <c r="O96" s="87">
        <v>1210</v>
      </c>
      <c r="P96" s="88">
        <v>40540</v>
      </c>
      <c r="Q96" s="87">
        <v>21100</v>
      </c>
      <c r="R96" s="87">
        <v>6020</v>
      </c>
      <c r="S96" s="87"/>
      <c r="T96" s="87">
        <v>0</v>
      </c>
      <c r="U96" s="88">
        <v>8050</v>
      </c>
      <c r="V96" s="87">
        <v>1390</v>
      </c>
      <c r="W96" s="89">
        <v>19050</v>
      </c>
      <c r="X96" s="87">
        <v>3000</v>
      </c>
      <c r="Y96" s="87">
        <v>50</v>
      </c>
      <c r="Z96" s="90">
        <v>150180</v>
      </c>
      <c r="AA96" s="123"/>
      <c r="AB96" s="92">
        <v>258</v>
      </c>
      <c r="AC96" s="92">
        <v>7</v>
      </c>
      <c r="AD96" s="93">
        <v>0.4</v>
      </c>
      <c r="AE96" s="118">
        <v>142</v>
      </c>
      <c r="AF96" s="92">
        <v>3276</v>
      </c>
      <c r="AG96" s="92">
        <f t="shared" si="12"/>
        <v>142</v>
      </c>
      <c r="AH96" s="123"/>
      <c r="AI96" s="92">
        <f t="shared" si="11"/>
        <v>157.13178294573643</v>
      </c>
      <c r="AJ96" s="92">
        <f>U96/AC96</f>
        <v>1150</v>
      </c>
      <c r="AK96" s="92">
        <f t="shared" si="13"/>
        <v>125</v>
      </c>
      <c r="AL96" s="92">
        <f t="shared" si="6"/>
        <v>1057.605633802817</v>
      </c>
      <c r="AM96" s="124"/>
      <c r="AN96" s="92">
        <f t="shared" ref="AN96:AN159" si="15">SUM(E96:O96,Q96:R96,T96,V96:X96,BM78,BP96:BS96)</f>
        <v>130370</v>
      </c>
      <c r="AO96" s="92">
        <f t="shared" ref="AO96:AO159" si="16">SUM(P96,S96,U96,BK78:BL78,BO96,Y96:Z96)</f>
        <v>198820</v>
      </c>
      <c r="AP96" s="60"/>
      <c r="AQ96" s="145">
        <v>0</v>
      </c>
      <c r="AR96" s="120"/>
      <c r="AS96" s="120"/>
      <c r="AT96" s="169">
        <f t="shared" si="7"/>
        <v>4.5694433031108157E-2</v>
      </c>
      <c r="AU96" s="169">
        <f t="shared" si="7"/>
        <v>0</v>
      </c>
      <c r="AV96" s="169">
        <f t="shared" si="7"/>
        <v>-3.8461538461538464E-2</v>
      </c>
      <c r="AW96" s="169">
        <f t="shared" si="7"/>
        <v>6.869434201317931E-2</v>
      </c>
      <c r="AX96" s="147">
        <f t="shared" si="8"/>
        <v>0.10454969075658731</v>
      </c>
      <c r="AY96" s="147">
        <f t="shared" si="8"/>
        <v>0.31642719989406076</v>
      </c>
      <c r="AZ96" s="147">
        <f t="shared" si="9"/>
        <v>0.22348175128224188</v>
      </c>
      <c r="BA96" s="51"/>
      <c r="BB96" s="113"/>
      <c r="BC96" s="170"/>
      <c r="BD96" s="171"/>
      <c r="BE96" s="171"/>
      <c r="BF96" s="91"/>
      <c r="BG96" s="91"/>
      <c r="BH96" s="172"/>
      <c r="BJ96" s="91"/>
      <c r="BK96" s="91"/>
      <c r="BL96" s="96"/>
      <c r="BM96" s="97"/>
      <c r="BN96" s="97"/>
      <c r="BO96" s="96"/>
      <c r="BP96" s="97"/>
      <c r="BQ96" s="97"/>
      <c r="BR96" s="97"/>
      <c r="BS96" s="97"/>
      <c r="BU96" s="113"/>
      <c r="BV96" s="113"/>
      <c r="BW96" s="113"/>
      <c r="BX96" s="113"/>
      <c r="BY96" s="113"/>
    </row>
    <row r="97" spans="1:77" ht="12" customHeight="1" outlineLevel="1">
      <c r="A97" s="49">
        <v>45717</v>
      </c>
      <c r="B97" s="49" t="s">
        <v>67</v>
      </c>
      <c r="C97" s="85">
        <f t="shared" si="5"/>
        <v>289250</v>
      </c>
      <c r="D97" s="86">
        <f>ROUNDDOWN(SUM(E97:Y97),-1)</f>
        <v>186590</v>
      </c>
      <c r="E97" s="87">
        <v>31580</v>
      </c>
      <c r="F97" s="87">
        <v>24140</v>
      </c>
      <c r="G97" s="87">
        <v>12650</v>
      </c>
      <c r="H97" s="87">
        <f>H96</f>
        <v>490</v>
      </c>
      <c r="I97" s="87">
        <v>640</v>
      </c>
      <c r="J97" s="87">
        <v>6620</v>
      </c>
      <c r="K97" s="87">
        <v>410</v>
      </c>
      <c r="L97" s="87">
        <v>1790</v>
      </c>
      <c r="M97" s="87">
        <v>0</v>
      </c>
      <c r="N97" s="87">
        <v>290</v>
      </c>
      <c r="O97" s="87">
        <v>1130</v>
      </c>
      <c r="P97" s="88">
        <v>43270</v>
      </c>
      <c r="Q97" s="87">
        <v>25880</v>
      </c>
      <c r="R97" s="87">
        <v>5820</v>
      </c>
      <c r="S97" s="87"/>
      <c r="T97" s="87">
        <v>0</v>
      </c>
      <c r="U97" s="88">
        <v>8050</v>
      </c>
      <c r="V97" s="87">
        <v>1510</v>
      </c>
      <c r="W97" s="89">
        <v>19050</v>
      </c>
      <c r="X97" s="87">
        <v>3000</v>
      </c>
      <c r="Y97" s="87">
        <v>270</v>
      </c>
      <c r="Z97" s="90">
        <v>102660</v>
      </c>
      <c r="AA97" s="129"/>
      <c r="AB97" s="92">
        <v>271</v>
      </c>
      <c r="AC97" s="92">
        <v>7</v>
      </c>
      <c r="AD97" s="93">
        <v>2.15</v>
      </c>
      <c r="AE97" s="118">
        <v>97</v>
      </c>
      <c r="AF97" s="92">
        <v>3373</v>
      </c>
      <c r="AG97" s="92">
        <f t="shared" si="12"/>
        <v>97</v>
      </c>
      <c r="AH97" s="129"/>
      <c r="AI97" s="92">
        <f t="shared" si="11"/>
        <v>159.6678966789668</v>
      </c>
      <c r="AJ97" s="92">
        <f t="shared" si="14"/>
        <v>1150</v>
      </c>
      <c r="AK97" s="92">
        <f t="shared" si="13"/>
        <v>125.58139534883722</v>
      </c>
      <c r="AL97" s="92">
        <f t="shared" si="6"/>
        <v>1058.3505154639174</v>
      </c>
      <c r="AM97" s="92"/>
      <c r="AN97" s="92">
        <f t="shared" si="15"/>
        <v>135000</v>
      </c>
      <c r="AO97" s="92">
        <f t="shared" si="16"/>
        <v>154250</v>
      </c>
      <c r="AP97" s="166"/>
      <c r="AQ97" s="145">
        <v>0</v>
      </c>
      <c r="AR97" s="145"/>
      <c r="AS97" s="145"/>
      <c r="AT97" s="169">
        <f t="shared" si="7"/>
        <v>6.1904074747052298E-2</v>
      </c>
      <c r="AU97" s="169">
        <f t="shared" si="7"/>
        <v>0</v>
      </c>
      <c r="AV97" s="169">
        <f t="shared" si="7"/>
        <v>-1.328903654485037E-2</v>
      </c>
      <c r="AW97" s="169">
        <f t="shared" si="7"/>
        <v>7.3878213963113823E-2</v>
      </c>
      <c r="AX97" s="147">
        <f t="shared" si="8"/>
        <v>0.13397732045359093</v>
      </c>
      <c r="AY97" s="147">
        <f t="shared" si="8"/>
        <v>0.2869180710829301</v>
      </c>
      <c r="AZ97" s="147">
        <f t="shared" si="9"/>
        <v>0.21070696078021012</v>
      </c>
      <c r="BA97" s="51"/>
      <c r="BB97" s="48"/>
      <c r="BC97" s="170"/>
      <c r="BD97" s="171"/>
      <c r="BE97" s="171"/>
      <c r="BF97" s="91"/>
      <c r="BG97" s="91"/>
      <c r="BH97" s="172"/>
      <c r="BJ97" s="91"/>
      <c r="BK97" s="91"/>
      <c r="BL97" s="96"/>
      <c r="BM97" s="97"/>
      <c r="BN97" s="97"/>
      <c r="BO97" s="96"/>
      <c r="BP97" s="97"/>
      <c r="BQ97" s="97"/>
      <c r="BR97" s="97"/>
      <c r="BS97" s="97"/>
      <c r="BU97" s="113"/>
      <c r="BV97" s="113"/>
      <c r="BW97" s="113"/>
      <c r="BX97" s="113"/>
      <c r="BY97" s="113"/>
    </row>
    <row r="98" spans="1:77" ht="12" customHeight="1" outlineLevel="1">
      <c r="A98" s="49">
        <v>45748</v>
      </c>
      <c r="B98" s="49" t="s">
        <v>68</v>
      </c>
      <c r="C98" s="85">
        <f t="shared" si="5"/>
        <v>225630</v>
      </c>
      <c r="D98" s="86">
        <f t="shared" ref="D98:D107" si="17">ROUNDDOWN(SUM(E98:Y98),-1)</f>
        <v>169030</v>
      </c>
      <c r="E98" s="87">
        <v>31430</v>
      </c>
      <c r="F98" s="87">
        <v>24160</v>
      </c>
      <c r="G98" s="87">
        <v>12900</v>
      </c>
      <c r="H98" s="87">
        <v>490</v>
      </c>
      <c r="I98" s="87">
        <v>640</v>
      </c>
      <c r="J98" s="87">
        <v>7360</v>
      </c>
      <c r="K98" s="87">
        <v>410</v>
      </c>
      <c r="L98" s="87">
        <v>1790</v>
      </c>
      <c r="M98" s="87">
        <v>150</v>
      </c>
      <c r="N98" s="87">
        <v>290</v>
      </c>
      <c r="O98" s="87">
        <v>1150</v>
      </c>
      <c r="P98" s="88">
        <v>33250</v>
      </c>
      <c r="Q98" s="87">
        <v>20770</v>
      </c>
      <c r="R98" s="87">
        <v>5050</v>
      </c>
      <c r="S98" s="87"/>
      <c r="T98" s="87">
        <v>0</v>
      </c>
      <c r="U98" s="88">
        <v>5750</v>
      </c>
      <c r="V98" s="87">
        <v>1390</v>
      </c>
      <c r="W98" s="89">
        <v>19050</v>
      </c>
      <c r="X98" s="87">
        <v>3000</v>
      </c>
      <c r="Y98" s="87">
        <v>0</v>
      </c>
      <c r="Z98" s="90">
        <v>56600</v>
      </c>
      <c r="AA98" s="129"/>
      <c r="AB98" s="92">
        <v>224</v>
      </c>
      <c r="AC98" s="92">
        <v>5</v>
      </c>
      <c r="AD98" s="93">
        <v>0</v>
      </c>
      <c r="AE98" s="118">
        <v>53</v>
      </c>
      <c r="AF98" s="92">
        <v>3426</v>
      </c>
      <c r="AG98" s="92">
        <f t="shared" si="12"/>
        <v>53</v>
      </c>
      <c r="AH98" s="129"/>
      <c r="AI98" s="92">
        <f t="shared" si="11"/>
        <v>148.4375</v>
      </c>
      <c r="AJ98" s="92">
        <f t="shared" si="14"/>
        <v>1150</v>
      </c>
      <c r="AK98" s="92" t="str">
        <f t="shared" si="13"/>
        <v/>
      </c>
      <c r="AL98" s="92">
        <f t="shared" si="6"/>
        <v>1067.9245283018868</v>
      </c>
      <c r="AM98" s="92"/>
      <c r="AN98" s="92">
        <f t="shared" si="15"/>
        <v>130030</v>
      </c>
      <c r="AO98" s="92">
        <f t="shared" si="16"/>
        <v>95600</v>
      </c>
      <c r="AP98" s="148"/>
      <c r="AQ98" s="145">
        <v>0</v>
      </c>
      <c r="AR98" s="145"/>
      <c r="AS98" s="145"/>
      <c r="AT98" s="169">
        <f t="shared" si="7"/>
        <v>-9.3076667650531339E-2</v>
      </c>
      <c r="AU98" s="169">
        <f t="shared" si="7"/>
        <v>0</v>
      </c>
      <c r="AV98" s="169" t="str">
        <f t="shared" si="7"/>
        <v/>
      </c>
      <c r="AW98" s="169">
        <f t="shared" si="7"/>
        <v>5.6603773584905683E-2</v>
      </c>
      <c r="AX98" s="169">
        <f t="shared" si="8"/>
        <v>0.11051328038261167</v>
      </c>
      <c r="AY98" s="169">
        <f t="shared" si="8"/>
        <v>0.14587078988373486</v>
      </c>
      <c r="AZ98" s="169">
        <f t="shared" si="9"/>
        <v>0.12522441651705565</v>
      </c>
      <c r="BA98" s="51"/>
      <c r="BB98" s="113"/>
      <c r="BC98" s="170"/>
      <c r="BD98" s="171"/>
      <c r="BE98" s="171"/>
      <c r="BF98" s="91"/>
      <c r="BG98" s="91"/>
      <c r="BH98" s="172"/>
      <c r="BJ98" s="91"/>
      <c r="BK98" s="91"/>
      <c r="BL98" s="96"/>
      <c r="BM98" s="97"/>
      <c r="BN98" s="97"/>
      <c r="BO98" s="96"/>
      <c r="BP98" s="97"/>
      <c r="BQ98" s="97"/>
      <c r="BR98" s="97"/>
      <c r="BS98" s="97"/>
      <c r="BU98" s="113"/>
      <c r="BV98" s="113"/>
      <c r="BW98" s="113"/>
      <c r="BX98" s="113"/>
      <c r="BY98" s="113"/>
    </row>
    <row r="99" spans="1:77" ht="12" customHeight="1" outlineLevel="1">
      <c r="A99" s="49">
        <v>45778</v>
      </c>
      <c r="B99" s="49" t="s">
        <v>69</v>
      </c>
      <c r="C99" s="85">
        <f t="shared" si="5"/>
        <v>184100</v>
      </c>
      <c r="D99" s="86">
        <f t="shared" si="17"/>
        <v>171320</v>
      </c>
      <c r="E99" s="87">
        <v>32200</v>
      </c>
      <c r="F99" s="87">
        <v>24120</v>
      </c>
      <c r="G99" s="87">
        <v>13130</v>
      </c>
      <c r="H99" s="87">
        <v>490</v>
      </c>
      <c r="I99" s="87">
        <v>640</v>
      </c>
      <c r="J99" s="87">
        <v>7990</v>
      </c>
      <c r="K99" s="87">
        <v>410</v>
      </c>
      <c r="L99" s="87">
        <v>3220</v>
      </c>
      <c r="M99" s="87">
        <v>0</v>
      </c>
      <c r="N99" s="87">
        <v>290</v>
      </c>
      <c r="O99" s="87">
        <v>1140</v>
      </c>
      <c r="P99" s="88">
        <v>32450</v>
      </c>
      <c r="Q99" s="87">
        <v>17750</v>
      </c>
      <c r="R99" s="87">
        <v>5740</v>
      </c>
      <c r="S99" s="87"/>
      <c r="T99" s="87">
        <v>0</v>
      </c>
      <c r="U99" s="88">
        <v>8050</v>
      </c>
      <c r="V99" s="87">
        <v>1480</v>
      </c>
      <c r="W99" s="89">
        <v>19050</v>
      </c>
      <c r="X99" s="87">
        <v>3000</v>
      </c>
      <c r="Y99" s="87">
        <v>170</v>
      </c>
      <c r="Z99" s="90">
        <v>12780</v>
      </c>
      <c r="AA99" s="129"/>
      <c r="AB99" s="92">
        <v>220</v>
      </c>
      <c r="AC99" s="92">
        <v>7</v>
      </c>
      <c r="AD99" s="93">
        <v>1.35</v>
      </c>
      <c r="AE99" s="118">
        <v>11</v>
      </c>
      <c r="AF99" s="92">
        <v>3437</v>
      </c>
      <c r="AG99" s="92">
        <f t="shared" si="12"/>
        <v>11</v>
      </c>
      <c r="AH99" s="129"/>
      <c r="AI99" s="92">
        <f t="shared" si="11"/>
        <v>147.5</v>
      </c>
      <c r="AJ99" s="92">
        <f t="shared" si="14"/>
        <v>1150</v>
      </c>
      <c r="AK99" s="92">
        <f t="shared" si="13"/>
        <v>125.92592592592592</v>
      </c>
      <c r="AL99" s="92">
        <f t="shared" si="6"/>
        <v>1161.8181818181818</v>
      </c>
      <c r="AM99" s="92"/>
      <c r="AN99" s="92">
        <f t="shared" si="15"/>
        <v>130650</v>
      </c>
      <c r="AO99" s="92">
        <f t="shared" si="16"/>
        <v>53450</v>
      </c>
      <c r="AP99" s="166">
        <v>-7670</v>
      </c>
      <c r="AQ99" s="145">
        <v>0</v>
      </c>
      <c r="AR99" s="145"/>
      <c r="AS99" s="145"/>
      <c r="AT99" s="169">
        <f t="shared" ref="AT99:AW130" si="18">IFERROR((AI99-AI87)/AI87,"")</f>
        <v>3.6720623501199897E-3</v>
      </c>
      <c r="AU99" s="169">
        <f t="shared" si="18"/>
        <v>0</v>
      </c>
      <c r="AV99" s="169">
        <f t="shared" si="18"/>
        <v>-2.4074074074074085E-2</v>
      </c>
      <c r="AW99" s="169">
        <f t="shared" si="18"/>
        <v>-8.2039911308203692E-3</v>
      </c>
      <c r="AX99" s="169">
        <f t="shared" si="8"/>
        <v>1.3969732246798603E-2</v>
      </c>
      <c r="AY99" s="169">
        <f t="shared" si="8"/>
        <v>6.8786242751449705E-2</v>
      </c>
      <c r="AZ99" s="169">
        <f t="shared" si="9"/>
        <v>2.9296656602929665E-2</v>
      </c>
      <c r="BA99" s="51"/>
      <c r="BB99" s="113"/>
      <c r="BC99" s="170"/>
      <c r="BD99" s="171"/>
      <c r="BE99" s="171"/>
      <c r="BF99" s="91"/>
      <c r="BG99" s="91"/>
      <c r="BH99" s="172"/>
      <c r="BJ99" s="91"/>
      <c r="BK99" s="91"/>
      <c r="BL99" s="96"/>
      <c r="BM99" s="97"/>
      <c r="BN99" s="97"/>
      <c r="BO99" s="96"/>
      <c r="BP99" s="97"/>
      <c r="BQ99" s="97"/>
      <c r="BR99" s="97"/>
      <c r="BS99" s="97"/>
      <c r="BU99" s="113"/>
      <c r="BV99" s="113"/>
      <c r="BW99" s="113"/>
      <c r="BX99" s="113"/>
      <c r="BY99" s="113"/>
    </row>
    <row r="100" spans="1:77" ht="12" customHeight="1" outlineLevel="1">
      <c r="A100" s="49">
        <v>45809</v>
      </c>
      <c r="B100" s="49" t="s">
        <v>70</v>
      </c>
      <c r="C100" s="85">
        <f t="shared" si="5"/>
        <v>169520</v>
      </c>
      <c r="D100" s="86">
        <f t="shared" si="17"/>
        <v>163330</v>
      </c>
      <c r="E100" s="87">
        <v>32110</v>
      </c>
      <c r="F100" s="87">
        <v>24500</v>
      </c>
      <c r="G100" s="87">
        <v>13180</v>
      </c>
      <c r="H100" s="87">
        <v>490</v>
      </c>
      <c r="I100" s="87">
        <v>640</v>
      </c>
      <c r="J100" s="87">
        <v>8060</v>
      </c>
      <c r="K100" s="87">
        <v>410</v>
      </c>
      <c r="L100" s="87">
        <v>3220</v>
      </c>
      <c r="M100" s="87">
        <v>0</v>
      </c>
      <c r="N100" s="87">
        <v>290</v>
      </c>
      <c r="O100" s="87">
        <v>1050</v>
      </c>
      <c r="P100" s="88">
        <v>27600</v>
      </c>
      <c r="Q100" s="87">
        <v>16010</v>
      </c>
      <c r="R100" s="87">
        <v>5270</v>
      </c>
      <c r="S100" s="87"/>
      <c r="T100" s="87">
        <v>0</v>
      </c>
      <c r="U100" s="88">
        <v>6900</v>
      </c>
      <c r="V100" s="87">
        <v>1420</v>
      </c>
      <c r="W100" s="89">
        <v>19050</v>
      </c>
      <c r="X100" s="87">
        <v>3000</v>
      </c>
      <c r="Y100" s="87">
        <v>130</v>
      </c>
      <c r="Z100" s="90">
        <v>6190</v>
      </c>
      <c r="AA100" s="129"/>
      <c r="AB100" s="92">
        <v>200</v>
      </c>
      <c r="AC100" s="92">
        <v>6</v>
      </c>
      <c r="AD100" s="93">
        <v>1.5</v>
      </c>
      <c r="AE100" s="118">
        <v>6</v>
      </c>
      <c r="AF100" s="92">
        <v>3443</v>
      </c>
      <c r="AG100" s="92">
        <f t="shared" si="12"/>
        <v>6</v>
      </c>
      <c r="AH100" s="129"/>
      <c r="AI100" s="92">
        <f t="shared" si="11"/>
        <v>138</v>
      </c>
      <c r="AJ100" s="92">
        <f t="shared" si="14"/>
        <v>1150</v>
      </c>
      <c r="AK100" s="92">
        <f t="shared" si="13"/>
        <v>86.666666666666671</v>
      </c>
      <c r="AL100" s="92">
        <f t="shared" si="6"/>
        <v>1031.6666666666667</v>
      </c>
      <c r="AM100" s="92"/>
      <c r="AN100" s="92">
        <f t="shared" si="15"/>
        <v>128700</v>
      </c>
      <c r="AO100" s="92">
        <f t="shared" si="16"/>
        <v>40820</v>
      </c>
      <c r="AP100" s="166">
        <v>-7670</v>
      </c>
      <c r="AQ100" s="145">
        <v>0</v>
      </c>
      <c r="AR100" s="145"/>
      <c r="AS100" s="145"/>
      <c r="AT100" s="169">
        <f t="shared" si="18"/>
        <v>-2.7419354838709616E-2</v>
      </c>
      <c r="AU100" s="169">
        <f t="shared" si="18"/>
        <v>0</v>
      </c>
      <c r="AV100" s="169">
        <f t="shared" si="18"/>
        <v>-0.32291666666666663</v>
      </c>
      <c r="AW100" s="169">
        <f t="shared" si="18"/>
        <v>-0.17334401709401703</v>
      </c>
      <c r="AX100" s="169">
        <f t="shared" si="8"/>
        <v>0.12323267585966137</v>
      </c>
      <c r="AY100" s="169">
        <f t="shared" si="8"/>
        <v>-7.4796010879419769E-2</v>
      </c>
      <c r="AZ100" s="169">
        <f t="shared" si="9"/>
        <v>6.8178954001260242E-2</v>
      </c>
      <c r="BA100" s="51"/>
      <c r="BB100" s="48"/>
      <c r="BC100" s="170"/>
      <c r="BD100" s="171"/>
      <c r="BE100" s="171"/>
      <c r="BF100" s="91"/>
      <c r="BG100" s="91"/>
      <c r="BH100" s="172"/>
      <c r="BJ100" s="91"/>
      <c r="BK100" s="91"/>
      <c r="BL100" s="96"/>
      <c r="BM100" s="97"/>
      <c r="BN100" s="97"/>
      <c r="BO100" s="96"/>
      <c r="BP100" s="97"/>
      <c r="BQ100" s="97"/>
      <c r="BR100" s="97"/>
      <c r="BS100" s="97"/>
      <c r="BU100" s="113"/>
      <c r="BV100" s="113"/>
      <c r="BW100" s="113"/>
      <c r="BX100" s="113"/>
      <c r="BY100" s="113"/>
    </row>
    <row r="101" spans="1:77" ht="12" customHeight="1" outlineLevel="1">
      <c r="A101" s="49">
        <v>45839</v>
      </c>
      <c r="B101" s="49" t="s">
        <v>71</v>
      </c>
      <c r="C101" s="85">
        <f t="shared" si="5"/>
        <v>177120</v>
      </c>
      <c r="D101" s="86">
        <f t="shared" si="17"/>
        <v>174770</v>
      </c>
      <c r="E101" s="87">
        <v>30570</v>
      </c>
      <c r="F101" s="87">
        <v>24500</v>
      </c>
      <c r="G101" s="87">
        <v>13180</v>
      </c>
      <c r="H101" s="87">
        <v>490</v>
      </c>
      <c r="I101" s="87">
        <v>640</v>
      </c>
      <c r="J101" s="87">
        <v>8430</v>
      </c>
      <c r="K101" s="87">
        <v>410</v>
      </c>
      <c r="L101" s="87">
        <v>3220</v>
      </c>
      <c r="M101" s="87">
        <v>0</v>
      </c>
      <c r="N101" s="87">
        <v>290</v>
      </c>
      <c r="O101" s="87">
        <v>670</v>
      </c>
      <c r="P101" s="88">
        <v>36520</v>
      </c>
      <c r="Q101" s="87">
        <v>16890</v>
      </c>
      <c r="R101" s="87">
        <v>5860</v>
      </c>
      <c r="S101" s="87"/>
      <c r="T101" s="87">
        <v>0</v>
      </c>
      <c r="U101" s="88">
        <v>9200</v>
      </c>
      <c r="V101" s="87">
        <v>1480</v>
      </c>
      <c r="W101" s="89">
        <v>19050</v>
      </c>
      <c r="X101" s="87">
        <v>3000</v>
      </c>
      <c r="Y101" s="87">
        <v>370</v>
      </c>
      <c r="Z101" s="90">
        <v>2350</v>
      </c>
      <c r="AA101" s="129"/>
      <c r="AB101" s="92">
        <v>239</v>
      </c>
      <c r="AC101" s="92">
        <v>8</v>
      </c>
      <c r="AD101" s="93">
        <v>2.9</v>
      </c>
      <c r="AE101" s="118">
        <v>1</v>
      </c>
      <c r="AF101" s="92">
        <v>3444</v>
      </c>
      <c r="AG101" s="92">
        <f t="shared" si="12"/>
        <v>1</v>
      </c>
      <c r="AH101" s="129"/>
      <c r="AI101" s="92">
        <f t="shared" si="11"/>
        <v>152.80334728033472</v>
      </c>
      <c r="AJ101" s="92">
        <f t="shared" si="14"/>
        <v>1150</v>
      </c>
      <c r="AK101" s="92">
        <f t="shared" si="13"/>
        <v>127.58620689655173</v>
      </c>
      <c r="AL101" s="92">
        <f t="shared" si="6"/>
        <v>2350</v>
      </c>
      <c r="AM101" s="92"/>
      <c r="AN101" s="92">
        <f t="shared" si="15"/>
        <v>128680</v>
      </c>
      <c r="AO101" s="92">
        <f t="shared" si="16"/>
        <v>48440</v>
      </c>
      <c r="AP101" s="166">
        <v>-7670</v>
      </c>
      <c r="AQ101" s="145">
        <v>0</v>
      </c>
      <c r="AR101" s="145"/>
      <c r="AS101" s="145"/>
      <c r="AT101" s="169">
        <f t="shared" si="18"/>
        <v>5.0554130861864721E-2</v>
      </c>
      <c r="AU101" s="169">
        <f t="shared" si="18"/>
        <v>0</v>
      </c>
      <c r="AV101" s="169">
        <f t="shared" si="18"/>
        <v>-6.0144346431435514E-3</v>
      </c>
      <c r="AW101" s="169">
        <f t="shared" si="18"/>
        <v>0.64335664335664333</v>
      </c>
      <c r="AX101" s="169">
        <f t="shared" si="8"/>
        <v>5.9617918313570488E-2</v>
      </c>
      <c r="AY101" s="169">
        <f t="shared" si="8"/>
        <v>8.5855189419412684E-2</v>
      </c>
      <c r="AZ101" s="169">
        <f t="shared" si="9"/>
        <v>6.6666666666666666E-2</v>
      </c>
      <c r="BA101" s="51"/>
      <c r="BB101" s="113"/>
      <c r="BC101" s="170"/>
      <c r="BD101" s="171"/>
      <c r="BE101" s="171"/>
      <c r="BF101" s="91"/>
      <c r="BG101" s="91"/>
      <c r="BH101" s="172"/>
      <c r="BJ101" s="91"/>
      <c r="BK101" s="91"/>
      <c r="BL101" s="96"/>
      <c r="BM101" s="97"/>
      <c r="BN101" s="97"/>
      <c r="BO101" s="96"/>
      <c r="BP101" s="97"/>
      <c r="BQ101" s="97"/>
      <c r="BR101" s="97"/>
      <c r="BS101" s="97"/>
      <c r="BU101" s="113"/>
      <c r="BV101" s="113"/>
      <c r="BW101" s="113"/>
      <c r="BX101" s="113"/>
      <c r="BY101" s="113"/>
    </row>
    <row r="102" spans="1:77" ht="12" customHeight="1" outlineLevel="1">
      <c r="A102" s="49">
        <v>45870</v>
      </c>
      <c r="B102" s="49" t="s">
        <v>72</v>
      </c>
      <c r="C102" s="85">
        <f t="shared" si="5"/>
        <v>191100</v>
      </c>
      <c r="D102" s="86">
        <f t="shared" si="17"/>
        <v>189730</v>
      </c>
      <c r="E102" s="87">
        <v>31790</v>
      </c>
      <c r="F102" s="87">
        <v>25120</v>
      </c>
      <c r="G102" s="87">
        <v>13180</v>
      </c>
      <c r="H102" s="87">
        <v>490</v>
      </c>
      <c r="I102" s="87">
        <v>640</v>
      </c>
      <c r="J102" s="87">
        <v>7700</v>
      </c>
      <c r="K102" s="87">
        <v>410</v>
      </c>
      <c r="L102" s="87">
        <v>3220</v>
      </c>
      <c r="M102" s="87">
        <v>300</v>
      </c>
      <c r="N102" s="87">
        <v>290</v>
      </c>
      <c r="O102" s="87">
        <v>1150</v>
      </c>
      <c r="P102" s="88">
        <v>49420</v>
      </c>
      <c r="Q102" s="87">
        <v>17980</v>
      </c>
      <c r="R102" s="87">
        <v>6210</v>
      </c>
      <c r="S102" s="87"/>
      <c r="T102" s="87">
        <v>0</v>
      </c>
      <c r="U102" s="88">
        <v>8050</v>
      </c>
      <c r="V102" s="87">
        <v>1440</v>
      </c>
      <c r="W102" s="89">
        <v>19050</v>
      </c>
      <c r="X102" s="87">
        <v>3000</v>
      </c>
      <c r="Y102" s="87">
        <v>290</v>
      </c>
      <c r="Z102" s="90">
        <v>1370</v>
      </c>
      <c r="AA102" s="129"/>
      <c r="AB102" s="92">
        <v>310</v>
      </c>
      <c r="AC102" s="92">
        <v>7</v>
      </c>
      <c r="AD102" s="93">
        <v>2.25</v>
      </c>
      <c r="AE102" s="118">
        <v>0</v>
      </c>
      <c r="AF102" s="92">
        <v>3444</v>
      </c>
      <c r="AG102" s="92">
        <f t="shared" si="12"/>
        <v>0</v>
      </c>
      <c r="AH102" s="129"/>
      <c r="AI102" s="92">
        <f t="shared" si="11"/>
        <v>159.41935483870967</v>
      </c>
      <c r="AJ102" s="92">
        <f t="shared" si="14"/>
        <v>1150</v>
      </c>
      <c r="AK102" s="92">
        <f t="shared" si="13"/>
        <v>128.88888888888889</v>
      </c>
      <c r="AL102" s="92">
        <v>1370</v>
      </c>
      <c r="AM102" s="92"/>
      <c r="AN102" s="92">
        <f t="shared" si="15"/>
        <v>131970</v>
      </c>
      <c r="AO102" s="92">
        <f t="shared" si="16"/>
        <v>59130</v>
      </c>
      <c r="AP102" s="166">
        <v>-7670</v>
      </c>
      <c r="AQ102" s="145">
        <v>0</v>
      </c>
      <c r="AR102" s="145"/>
      <c r="AS102" s="145"/>
      <c r="AT102" s="169">
        <f t="shared" si="18"/>
        <v>4.9082206035379682E-2</v>
      </c>
      <c r="AU102" s="169">
        <f t="shared" si="18"/>
        <v>0</v>
      </c>
      <c r="AV102" s="169">
        <f t="shared" si="18"/>
        <v>2.0370370370370271E-2</v>
      </c>
      <c r="AW102" s="169">
        <f t="shared" si="18"/>
        <v>-0.41702127659574467</v>
      </c>
      <c r="AX102" s="169">
        <f t="shared" si="8"/>
        <v>5.3400383141762452E-2</v>
      </c>
      <c r="AY102" s="169">
        <f t="shared" si="8"/>
        <v>0.20012177795818956</v>
      </c>
      <c r="AZ102" s="169">
        <f t="shared" si="9"/>
        <v>9.4815239186479522E-2</v>
      </c>
      <c r="BA102" s="51"/>
      <c r="BB102" s="113"/>
      <c r="BC102" s="170"/>
      <c r="BD102" s="171"/>
      <c r="BE102" s="171"/>
      <c r="BF102" s="91"/>
      <c r="BG102" s="91"/>
      <c r="BH102" s="172"/>
      <c r="BJ102" s="91"/>
      <c r="BK102" s="91"/>
      <c r="BL102" s="96"/>
      <c r="BM102" s="97"/>
      <c r="BN102" s="97"/>
      <c r="BO102" s="96"/>
      <c r="BP102" s="97"/>
      <c r="BQ102" s="97"/>
      <c r="BR102" s="97"/>
      <c r="BS102" s="97"/>
      <c r="BU102" s="113"/>
      <c r="BV102" s="113"/>
      <c r="BW102" s="113"/>
      <c r="BX102" s="113"/>
      <c r="BY102" s="113"/>
    </row>
    <row r="103" spans="1:77" ht="12" customHeight="1" outlineLevel="1">
      <c r="A103" s="49">
        <v>45901</v>
      </c>
      <c r="B103" s="49" t="s">
        <v>73</v>
      </c>
      <c r="C103" s="85">
        <f t="shared" si="5"/>
        <v>204510</v>
      </c>
      <c r="D103" s="86">
        <f t="shared" si="17"/>
        <v>203140</v>
      </c>
      <c r="E103" s="87">
        <v>30440</v>
      </c>
      <c r="F103" s="87">
        <v>25120</v>
      </c>
      <c r="G103" s="87">
        <v>13180</v>
      </c>
      <c r="H103" s="87">
        <v>490</v>
      </c>
      <c r="I103" s="87">
        <v>640</v>
      </c>
      <c r="J103" s="87">
        <v>8010</v>
      </c>
      <c r="K103" s="87">
        <v>410</v>
      </c>
      <c r="L103" s="87">
        <v>3220</v>
      </c>
      <c r="M103" s="87">
        <v>480</v>
      </c>
      <c r="N103" s="87">
        <v>290</v>
      </c>
      <c r="O103" s="87">
        <v>300</v>
      </c>
      <c r="P103" s="88">
        <v>62370</v>
      </c>
      <c r="Q103" s="87">
        <v>19650</v>
      </c>
      <c r="R103" s="87">
        <v>6780</v>
      </c>
      <c r="S103" s="87"/>
      <c r="T103" s="87">
        <v>0</v>
      </c>
      <c r="U103" s="88">
        <v>8050</v>
      </c>
      <c r="V103" s="87">
        <v>1550</v>
      </c>
      <c r="W103" s="89">
        <v>19050</v>
      </c>
      <c r="X103" s="87">
        <v>3000</v>
      </c>
      <c r="Y103" s="87">
        <v>110</v>
      </c>
      <c r="Z103" s="90">
        <v>1370</v>
      </c>
      <c r="AA103" s="123"/>
      <c r="AB103" s="92">
        <v>399</v>
      </c>
      <c r="AC103" s="92">
        <v>7</v>
      </c>
      <c r="AD103" s="93">
        <v>0.85</v>
      </c>
      <c r="AE103" s="118">
        <v>0</v>
      </c>
      <c r="AF103" s="92">
        <v>3444</v>
      </c>
      <c r="AG103" s="92">
        <f t="shared" si="12"/>
        <v>0</v>
      </c>
      <c r="AH103" s="129"/>
      <c r="AI103" s="92">
        <f t="shared" si="11"/>
        <v>156.31578947368422</v>
      </c>
      <c r="AJ103" s="92">
        <f t="shared" si="14"/>
        <v>1150</v>
      </c>
      <c r="AK103" s="92">
        <f t="shared" si="13"/>
        <v>129.41176470588235</v>
      </c>
      <c r="AL103" s="92">
        <v>1370</v>
      </c>
      <c r="AM103" s="92"/>
      <c r="AN103" s="92">
        <f t="shared" si="15"/>
        <v>132610</v>
      </c>
      <c r="AO103" s="92">
        <f t="shared" si="16"/>
        <v>71900</v>
      </c>
      <c r="AP103" s="166">
        <v>-7670</v>
      </c>
      <c r="AQ103" s="145">
        <v>0</v>
      </c>
      <c r="AR103" s="145"/>
      <c r="AS103" s="145"/>
      <c r="AT103" s="169">
        <f t="shared" si="18"/>
        <v>3.0934440024479884E-2</v>
      </c>
      <c r="AU103" s="169">
        <f t="shared" si="18"/>
        <v>0</v>
      </c>
      <c r="AV103" s="169">
        <f t="shared" si="18"/>
        <v>0.40196078431372545</v>
      </c>
      <c r="AW103" s="169">
        <f t="shared" si="18"/>
        <v>-0.51</v>
      </c>
      <c r="AX103" s="169">
        <f t="shared" si="8"/>
        <v>4.9711074170822447E-2</v>
      </c>
      <c r="AY103" s="169">
        <f t="shared" si="8"/>
        <v>0.11334778569216476</v>
      </c>
      <c r="AZ103" s="169">
        <f t="shared" si="9"/>
        <v>7.123775601068566E-2</v>
      </c>
      <c r="BA103" s="51"/>
      <c r="BB103" s="113"/>
      <c r="BC103" s="170"/>
      <c r="BD103" s="171"/>
      <c r="BE103" s="171"/>
      <c r="BF103" s="91"/>
      <c r="BG103" s="91"/>
      <c r="BH103" s="172"/>
      <c r="BJ103" s="91"/>
      <c r="BK103" s="91"/>
      <c r="BL103" s="96"/>
      <c r="BM103" s="97"/>
      <c r="BN103" s="97"/>
      <c r="BO103" s="96"/>
      <c r="BP103" s="97"/>
      <c r="BQ103" s="97"/>
      <c r="BR103" s="97"/>
      <c r="BS103" s="97"/>
      <c r="BU103" s="113"/>
      <c r="BV103" s="113"/>
      <c r="BW103" s="113"/>
      <c r="BX103" s="113"/>
      <c r="BY103" s="113"/>
    </row>
    <row r="104" spans="1:77" ht="12" customHeight="1" outlineLevel="1">
      <c r="A104" s="49">
        <v>45931</v>
      </c>
      <c r="B104" s="49" t="s">
        <v>74</v>
      </c>
      <c r="C104" s="85">
        <f t="shared" si="5"/>
        <v>198150</v>
      </c>
      <c r="D104" s="86">
        <f t="shared" si="17"/>
        <v>196780</v>
      </c>
      <c r="E104" s="87">
        <v>32390</v>
      </c>
      <c r="F104" s="87">
        <v>25050</v>
      </c>
      <c r="G104" s="87">
        <v>12960</v>
      </c>
      <c r="H104" s="87">
        <v>490</v>
      </c>
      <c r="I104" s="87">
        <v>640</v>
      </c>
      <c r="J104" s="87">
        <v>5380</v>
      </c>
      <c r="K104" s="87">
        <v>410</v>
      </c>
      <c r="L104" s="87">
        <v>3220</v>
      </c>
      <c r="M104" s="87">
        <v>810</v>
      </c>
      <c r="N104" s="87">
        <v>290</v>
      </c>
      <c r="O104" s="87">
        <v>560</v>
      </c>
      <c r="P104" s="88">
        <v>55990</v>
      </c>
      <c r="Q104" s="87">
        <v>18910</v>
      </c>
      <c r="R104" s="87">
        <v>7010</v>
      </c>
      <c r="S104" s="87"/>
      <c r="T104" s="87">
        <v>0</v>
      </c>
      <c r="U104" s="88">
        <v>9200</v>
      </c>
      <c r="V104" s="87">
        <v>1420</v>
      </c>
      <c r="W104" s="89">
        <v>19050</v>
      </c>
      <c r="X104" s="87">
        <v>3000</v>
      </c>
      <c r="Y104" s="87">
        <v>0</v>
      </c>
      <c r="Z104" s="90">
        <v>1370</v>
      </c>
      <c r="AA104" s="129"/>
      <c r="AB104" s="92">
        <v>360</v>
      </c>
      <c r="AC104" s="92">
        <v>8</v>
      </c>
      <c r="AD104" s="93">
        <v>0</v>
      </c>
      <c r="AE104" s="118">
        <v>0</v>
      </c>
      <c r="AF104" s="92">
        <v>3444</v>
      </c>
      <c r="AG104" s="92">
        <f t="shared" si="12"/>
        <v>0</v>
      </c>
      <c r="AH104" s="129"/>
      <c r="AI104" s="92">
        <f t="shared" si="11"/>
        <v>155.52777777777777</v>
      </c>
      <c r="AJ104" s="92">
        <f t="shared" si="14"/>
        <v>1150</v>
      </c>
      <c r="AK104" s="92" t="str">
        <f t="shared" si="13"/>
        <v/>
      </c>
      <c r="AL104" s="92">
        <v>1370</v>
      </c>
      <c r="AM104" s="92"/>
      <c r="AN104" s="92">
        <f t="shared" si="15"/>
        <v>131590</v>
      </c>
      <c r="AO104" s="92">
        <f t="shared" si="16"/>
        <v>66560</v>
      </c>
      <c r="AP104" s="166">
        <v>-7670</v>
      </c>
      <c r="AQ104" s="145">
        <v>0</v>
      </c>
      <c r="AR104" s="145"/>
      <c r="AS104" s="145"/>
      <c r="AT104" s="169">
        <f t="shared" si="18"/>
        <v>-1.5512616352916763E-2</v>
      </c>
      <c r="AU104" s="169">
        <f t="shared" si="18"/>
        <v>0</v>
      </c>
      <c r="AV104" s="169" t="str">
        <f t="shared" si="18"/>
        <v/>
      </c>
      <c r="AW104" s="169">
        <f t="shared" si="18"/>
        <v>-0.51</v>
      </c>
      <c r="AX104" s="169">
        <f t="shared" si="8"/>
        <v>3.0946411783140081E-2</v>
      </c>
      <c r="AY104" s="169">
        <f t="shared" si="8"/>
        <v>-2.1608114067323238E-2</v>
      </c>
      <c r="AZ104" s="169">
        <f t="shared" si="9"/>
        <v>1.2674400776818112E-2</v>
      </c>
      <c r="BA104" s="51"/>
      <c r="BB104" s="113"/>
      <c r="BC104" s="170"/>
      <c r="BD104" s="171"/>
      <c r="BE104" s="171"/>
      <c r="BF104" s="91"/>
      <c r="BG104" s="91"/>
      <c r="BH104" s="172"/>
      <c r="BJ104" s="91"/>
      <c r="BK104" s="91"/>
      <c r="BL104" s="96"/>
      <c r="BM104" s="97"/>
      <c r="BN104" s="97"/>
      <c r="BO104" s="96"/>
      <c r="BP104" s="97"/>
      <c r="BQ104" s="97"/>
      <c r="BR104" s="97"/>
      <c r="BS104" s="97"/>
      <c r="BU104" s="113"/>
      <c r="BV104" s="113"/>
      <c r="BW104" s="113"/>
      <c r="BX104" s="113"/>
      <c r="BY104" s="113"/>
    </row>
    <row r="105" spans="1:77" ht="12" customHeight="1" outlineLevel="1">
      <c r="A105" s="49">
        <v>45962</v>
      </c>
      <c r="B105" s="49" t="s">
        <v>63</v>
      </c>
      <c r="C105" s="85">
        <f t="shared" si="5"/>
        <v>185550</v>
      </c>
      <c r="D105" s="86">
        <f t="shared" si="17"/>
        <v>172070</v>
      </c>
      <c r="E105" s="87">
        <v>32550</v>
      </c>
      <c r="F105" s="87">
        <v>24780</v>
      </c>
      <c r="G105" s="87">
        <v>13180</v>
      </c>
      <c r="H105" s="87">
        <v>490</v>
      </c>
      <c r="I105" s="87">
        <v>640</v>
      </c>
      <c r="J105" s="87">
        <v>7290</v>
      </c>
      <c r="K105" s="87">
        <v>410</v>
      </c>
      <c r="L105" s="87">
        <v>3220</v>
      </c>
      <c r="M105" s="87">
        <v>330</v>
      </c>
      <c r="N105" s="87">
        <v>290</v>
      </c>
      <c r="O105" s="87">
        <v>1740</v>
      </c>
      <c r="P105" s="88">
        <v>32620</v>
      </c>
      <c r="Q105" s="87">
        <v>16560</v>
      </c>
      <c r="R105" s="87">
        <v>6210</v>
      </c>
      <c r="S105" s="87"/>
      <c r="T105" s="87">
        <v>0</v>
      </c>
      <c r="U105" s="88">
        <v>8050</v>
      </c>
      <c r="V105" s="87">
        <v>1410</v>
      </c>
      <c r="W105" s="89">
        <v>19050</v>
      </c>
      <c r="X105" s="87">
        <v>3000</v>
      </c>
      <c r="Y105" s="87">
        <v>250</v>
      </c>
      <c r="Z105" s="90">
        <v>13480</v>
      </c>
      <c r="AA105" s="129"/>
      <c r="AB105" s="92">
        <v>222</v>
      </c>
      <c r="AC105" s="92">
        <v>7</v>
      </c>
      <c r="AD105" s="93">
        <v>1.95</v>
      </c>
      <c r="AE105" s="118">
        <v>13</v>
      </c>
      <c r="AF105" s="92">
        <f>3457</f>
        <v>3457</v>
      </c>
      <c r="AG105" s="92">
        <f t="shared" si="12"/>
        <v>13</v>
      </c>
      <c r="AH105" s="129"/>
      <c r="AI105" s="92">
        <f t="shared" si="11"/>
        <v>146.93693693693695</v>
      </c>
      <c r="AJ105" s="92">
        <f>U105/AC105</f>
        <v>1150</v>
      </c>
      <c r="AK105" s="92">
        <f t="shared" si="13"/>
        <v>128.2051282051282</v>
      </c>
      <c r="AL105" s="92">
        <f t="shared" ref="AL105:AL113" si="19">Z105/AE105</f>
        <v>1036.9230769230769</v>
      </c>
      <c r="AM105" s="92"/>
      <c r="AN105" s="92">
        <f t="shared" si="15"/>
        <v>131150</v>
      </c>
      <c r="AO105" s="92">
        <f t="shared" si="16"/>
        <v>54400</v>
      </c>
      <c r="AP105" s="166">
        <v>-7670</v>
      </c>
      <c r="AQ105" s="145">
        <v>0</v>
      </c>
      <c r="AR105" s="145"/>
      <c r="AS105" s="145"/>
      <c r="AT105" s="169">
        <f t="shared" si="18"/>
        <v>-9.8679412971149794E-2</v>
      </c>
      <c r="AU105" s="169">
        <f t="shared" si="18"/>
        <v>0</v>
      </c>
      <c r="AV105" s="169" t="str">
        <f t="shared" si="18"/>
        <v/>
      </c>
      <c r="AW105" s="169">
        <f t="shared" si="18"/>
        <v>-0.21445221445221446</v>
      </c>
      <c r="AX105" s="169">
        <f t="shared" si="8"/>
        <v>7.9932364921989092E-3</v>
      </c>
      <c r="AY105" s="169">
        <f t="shared" si="8"/>
        <v>-0.13978494623655913</v>
      </c>
      <c r="AZ105" s="169">
        <f t="shared" si="9"/>
        <v>-4.0341349883630723E-2</v>
      </c>
      <c r="BA105" s="51"/>
      <c r="BB105" s="113"/>
      <c r="BC105" s="170"/>
      <c r="BD105" s="171"/>
      <c r="BE105" s="171"/>
      <c r="BF105" s="91"/>
      <c r="BG105" s="91"/>
      <c r="BH105" s="172"/>
      <c r="BJ105" s="91"/>
      <c r="BK105" s="91"/>
      <c r="BL105" s="96"/>
      <c r="BM105" s="97"/>
      <c r="BN105" s="97"/>
      <c r="BO105" s="96"/>
      <c r="BP105" s="97"/>
      <c r="BQ105" s="97"/>
      <c r="BR105" s="97"/>
      <c r="BS105" s="97"/>
      <c r="BU105" s="113"/>
      <c r="BV105" s="113"/>
      <c r="BW105" s="113"/>
      <c r="BX105" s="113"/>
      <c r="BY105" s="113"/>
    </row>
    <row r="106" spans="1:77" ht="12" customHeight="1">
      <c r="A106" s="52">
        <v>45992</v>
      </c>
      <c r="B106" s="52" t="s">
        <v>64</v>
      </c>
      <c r="C106" s="131">
        <f t="shared" si="5"/>
        <v>222090</v>
      </c>
      <c r="D106" s="132">
        <f t="shared" si="17"/>
        <v>163520</v>
      </c>
      <c r="E106" s="133">
        <v>31720</v>
      </c>
      <c r="F106" s="133">
        <v>25110</v>
      </c>
      <c r="G106" s="133">
        <v>13180</v>
      </c>
      <c r="H106" s="133">
        <v>470</v>
      </c>
      <c r="I106" s="133">
        <v>640</v>
      </c>
      <c r="J106" s="133">
        <v>5920</v>
      </c>
      <c r="K106" s="133">
        <v>410</v>
      </c>
      <c r="L106" s="133">
        <v>3220</v>
      </c>
      <c r="M106" s="133">
        <v>50</v>
      </c>
      <c r="N106" s="133">
        <v>290</v>
      </c>
      <c r="O106" s="133">
        <v>1440</v>
      </c>
      <c r="P106" s="134">
        <v>27170</v>
      </c>
      <c r="Q106" s="133">
        <v>16520</v>
      </c>
      <c r="R106" s="133">
        <v>5810</v>
      </c>
      <c r="S106" s="133"/>
      <c r="T106" s="133">
        <v>0</v>
      </c>
      <c r="U106" s="134">
        <v>8050</v>
      </c>
      <c r="V106" s="133">
        <v>1470</v>
      </c>
      <c r="W106" s="135">
        <v>19050</v>
      </c>
      <c r="X106" s="133">
        <v>3000</v>
      </c>
      <c r="Y106" s="133">
        <v>0</v>
      </c>
      <c r="Z106" s="136">
        <v>58570</v>
      </c>
      <c r="AA106" s="138"/>
      <c r="AB106" s="138">
        <v>209</v>
      </c>
      <c r="AC106" s="138">
        <v>7</v>
      </c>
      <c r="AD106" s="173">
        <v>0</v>
      </c>
      <c r="AE106" s="140">
        <v>55</v>
      </c>
      <c r="AF106" s="138">
        <v>3512</v>
      </c>
      <c r="AG106" s="138">
        <f t="shared" si="12"/>
        <v>55</v>
      </c>
      <c r="AH106" s="138"/>
      <c r="AI106" s="138">
        <f t="shared" si="11"/>
        <v>130</v>
      </c>
      <c r="AJ106" s="138">
        <v>1150</v>
      </c>
      <c r="AK106" s="138" t="str">
        <f t="shared" si="13"/>
        <v/>
      </c>
      <c r="AL106" s="138">
        <f t="shared" si="19"/>
        <v>1064.909090909091</v>
      </c>
      <c r="AM106" s="138"/>
      <c r="AN106" s="138">
        <f t="shared" si="15"/>
        <v>128300</v>
      </c>
      <c r="AO106" s="138">
        <f t="shared" si="16"/>
        <v>93790</v>
      </c>
      <c r="AP106" s="167">
        <v>-7670</v>
      </c>
      <c r="AQ106" s="141">
        <v>0</v>
      </c>
      <c r="AR106" s="141"/>
      <c r="AS106" s="141"/>
      <c r="AT106" s="151">
        <f t="shared" si="18"/>
        <v>-9.353000335232993E-2</v>
      </c>
      <c r="AU106" s="151">
        <f t="shared" si="18"/>
        <v>0</v>
      </c>
      <c r="AV106" s="151" t="str">
        <f t="shared" si="18"/>
        <v/>
      </c>
      <c r="AW106" s="151">
        <f t="shared" si="18"/>
        <v>-8.9678510998306808E-3</v>
      </c>
      <c r="AX106" s="151">
        <f t="shared" si="8"/>
        <v>1.5590894917368256E-4</v>
      </c>
      <c r="AY106" s="151">
        <f t="shared" si="8"/>
        <v>0.11641471253422211</v>
      </c>
      <c r="AZ106" s="151">
        <f t="shared" si="9"/>
        <v>4.6163267228790807E-2</v>
      </c>
      <c r="BA106" s="51"/>
      <c r="BB106" s="113"/>
      <c r="BC106" s="170"/>
      <c r="BD106" s="171"/>
      <c r="BE106" s="171"/>
      <c r="BF106" s="91"/>
      <c r="BG106" s="91"/>
      <c r="BH106" s="172"/>
      <c r="BJ106" s="91"/>
      <c r="BK106" s="91"/>
      <c r="BL106" s="96"/>
      <c r="BM106" s="97"/>
      <c r="BN106" s="97"/>
      <c r="BO106" s="96"/>
      <c r="BP106" s="97"/>
      <c r="BQ106" s="97"/>
      <c r="BR106" s="97"/>
      <c r="BS106" s="97"/>
      <c r="BU106" s="113"/>
      <c r="BV106" s="113"/>
      <c r="BW106" s="113"/>
      <c r="BX106" s="113"/>
      <c r="BY106" s="113"/>
    </row>
    <row r="107" spans="1:77" ht="12" customHeight="1">
      <c r="A107" s="49">
        <v>46023</v>
      </c>
      <c r="B107" s="49" t="s">
        <v>65</v>
      </c>
      <c r="C107" s="85">
        <f t="shared" si="5"/>
        <v>266610</v>
      </c>
      <c r="D107" s="86">
        <f t="shared" si="17"/>
        <v>169490</v>
      </c>
      <c r="E107" s="87">
        <v>31230</v>
      </c>
      <c r="F107" s="87">
        <v>24590</v>
      </c>
      <c r="G107" s="87">
        <v>13180</v>
      </c>
      <c r="H107" s="87">
        <v>470</v>
      </c>
      <c r="I107" s="87">
        <v>640</v>
      </c>
      <c r="J107" s="87">
        <v>6720</v>
      </c>
      <c r="K107" s="87">
        <v>410</v>
      </c>
      <c r="L107" s="87">
        <v>3220</v>
      </c>
      <c r="M107" s="87">
        <v>580</v>
      </c>
      <c r="N107" s="87">
        <v>290</v>
      </c>
      <c r="O107" s="87">
        <v>900</v>
      </c>
      <c r="P107" s="88">
        <v>32320</v>
      </c>
      <c r="Q107" s="87">
        <v>17620</v>
      </c>
      <c r="R107" s="87">
        <v>5560</v>
      </c>
      <c r="S107" s="87"/>
      <c r="T107" s="87">
        <v>0</v>
      </c>
      <c r="U107" s="88">
        <v>8050</v>
      </c>
      <c r="V107" s="87">
        <v>1530</v>
      </c>
      <c r="W107" s="89">
        <v>19050</v>
      </c>
      <c r="X107" s="87">
        <v>3000</v>
      </c>
      <c r="Y107" s="87">
        <v>130</v>
      </c>
      <c r="Z107" s="90">
        <v>97120</v>
      </c>
      <c r="AA107" s="92"/>
      <c r="AB107" s="92">
        <v>220</v>
      </c>
      <c r="AC107" s="92">
        <v>7</v>
      </c>
      <c r="AD107" s="93">
        <v>1</v>
      </c>
      <c r="AE107" s="118">
        <v>92</v>
      </c>
      <c r="AF107" s="92">
        <v>3604</v>
      </c>
      <c r="AG107" s="92">
        <f t="shared" si="12"/>
        <v>92</v>
      </c>
      <c r="AH107" s="92"/>
      <c r="AI107" s="160">
        <f t="shared" si="11"/>
        <v>146.90909090909091</v>
      </c>
      <c r="AJ107" s="160">
        <f t="shared" si="14"/>
        <v>1150</v>
      </c>
      <c r="AK107" s="160">
        <f t="shared" si="13"/>
        <v>130</v>
      </c>
      <c r="AL107" s="160">
        <f t="shared" si="19"/>
        <v>1055.6521739130435</v>
      </c>
      <c r="AM107" s="92"/>
      <c r="AN107" s="92">
        <f t="shared" si="15"/>
        <v>128990</v>
      </c>
      <c r="AO107" s="92">
        <f t="shared" si="16"/>
        <v>137620</v>
      </c>
      <c r="AP107" s="166">
        <v>-7670</v>
      </c>
      <c r="AQ107" s="145">
        <v>0</v>
      </c>
      <c r="AR107" s="145"/>
      <c r="AS107" s="145"/>
      <c r="AT107" s="169">
        <f t="shared" si="18"/>
        <v>5.9061957151129675E-3</v>
      </c>
      <c r="AU107" s="169">
        <f t="shared" si="18"/>
        <v>0</v>
      </c>
      <c r="AV107" s="169" t="str">
        <f t="shared" si="18"/>
        <v/>
      </c>
      <c r="AW107" s="169">
        <f t="shared" si="18"/>
        <v>3.0873382516768948E-2</v>
      </c>
      <c r="AX107" s="174">
        <f t="shared" si="8"/>
        <v>2.3567687668624028E-2</v>
      </c>
      <c r="AY107" s="174">
        <f t="shared" si="8"/>
        <v>-8.9031574766664456E-2</v>
      </c>
      <c r="AZ107" s="174">
        <f t="shared" si="9"/>
        <v>-3.7821646396477678E-2</v>
      </c>
      <c r="BA107" s="51"/>
      <c r="BB107" s="113"/>
      <c r="BC107" s="170"/>
      <c r="BD107" s="171"/>
      <c r="BE107" s="171"/>
      <c r="BF107" s="91"/>
      <c r="BG107" s="91"/>
      <c r="BH107" s="172"/>
      <c r="BJ107" s="91"/>
      <c r="BK107" s="91"/>
      <c r="BL107" s="96"/>
      <c r="BM107" s="97"/>
      <c r="BN107" s="97"/>
      <c r="BO107" s="96"/>
      <c r="BP107" s="97"/>
      <c r="BQ107" s="97"/>
      <c r="BR107" s="97"/>
      <c r="BS107" s="97"/>
      <c r="BU107" s="113"/>
      <c r="BV107" s="113"/>
      <c r="BW107" s="113"/>
      <c r="BX107" s="113"/>
      <c r="BY107" s="113"/>
    </row>
    <row r="108" spans="1:77" ht="12" customHeight="1">
      <c r="A108" s="49">
        <v>46054</v>
      </c>
      <c r="B108" s="49" t="s">
        <v>66</v>
      </c>
      <c r="C108" s="85">
        <f>SUM(D108,Z108)</f>
        <v>313170</v>
      </c>
      <c r="D108" s="86">
        <f>ROUNDDOWN(SUM(E108:Y108),-1)</f>
        <v>179570</v>
      </c>
      <c r="E108" s="87">
        <v>32980</v>
      </c>
      <c r="F108" s="87">
        <v>25150</v>
      </c>
      <c r="G108" s="87">
        <v>13710</v>
      </c>
      <c r="H108" s="87">
        <v>470</v>
      </c>
      <c r="I108" s="87">
        <v>640</v>
      </c>
      <c r="J108" s="87">
        <v>7200</v>
      </c>
      <c r="K108" s="87">
        <v>410</v>
      </c>
      <c r="L108" s="87">
        <v>3220</v>
      </c>
      <c r="M108" s="87">
        <v>530</v>
      </c>
      <c r="N108" s="87">
        <v>290</v>
      </c>
      <c r="O108" s="87">
        <v>1220</v>
      </c>
      <c r="P108" s="88">
        <v>35070</v>
      </c>
      <c r="Q108" s="87">
        <v>22110</v>
      </c>
      <c r="R108" s="87">
        <v>5780</v>
      </c>
      <c r="S108" s="87"/>
      <c r="T108" s="87">
        <v>0</v>
      </c>
      <c r="U108" s="88">
        <v>6900</v>
      </c>
      <c r="V108" s="87">
        <v>1710</v>
      </c>
      <c r="W108" s="89">
        <v>19050</v>
      </c>
      <c r="X108" s="87">
        <v>3000</v>
      </c>
      <c r="Y108" s="87">
        <v>130</v>
      </c>
      <c r="Z108" s="90">
        <v>133600</v>
      </c>
      <c r="AA108" s="123"/>
      <c r="AB108" s="92">
        <v>233</v>
      </c>
      <c r="AC108" s="92">
        <v>6</v>
      </c>
      <c r="AD108" s="93">
        <v>1.05</v>
      </c>
      <c r="AE108" s="118">
        <v>127</v>
      </c>
      <c r="AF108" s="92">
        <v>3731</v>
      </c>
      <c r="AG108" s="92">
        <f t="shared" si="12"/>
        <v>127</v>
      </c>
      <c r="AH108" s="129"/>
      <c r="AI108" s="92">
        <f t="shared" si="11"/>
        <v>150.51502145922746</v>
      </c>
      <c r="AJ108" s="92">
        <f>U108/AC108</f>
        <v>1150</v>
      </c>
      <c r="AK108" s="92">
        <f t="shared" si="13"/>
        <v>123.80952380952381</v>
      </c>
      <c r="AL108" s="92">
        <f t="shared" si="19"/>
        <v>1051.9685039370079</v>
      </c>
      <c r="AM108" s="92"/>
      <c r="AN108" s="92">
        <f t="shared" si="15"/>
        <v>137470</v>
      </c>
      <c r="AO108" s="92">
        <f t="shared" si="16"/>
        <v>175700</v>
      </c>
      <c r="AP108" s="166"/>
      <c r="AQ108" s="145">
        <v>0</v>
      </c>
      <c r="AR108" s="145"/>
      <c r="AS108" s="145"/>
      <c r="AT108" s="169">
        <f t="shared" si="18"/>
        <v>-4.2109631561897294E-2</v>
      </c>
      <c r="AU108" s="169">
        <f t="shared" si="18"/>
        <v>0</v>
      </c>
      <c r="AV108" s="169">
        <f t="shared" si="18"/>
        <v>-9.5238095238095177E-3</v>
      </c>
      <c r="AW108" s="169">
        <f t="shared" si="18"/>
        <v>-5.3300868354301256E-3</v>
      </c>
      <c r="AX108" s="169">
        <f t="shared" si="8"/>
        <v>5.4460381989721564E-2</v>
      </c>
      <c r="AY108" s="169">
        <f t="shared" si="8"/>
        <v>-0.11628608791872046</v>
      </c>
      <c r="AZ108" s="169">
        <f t="shared" si="9"/>
        <v>-4.8664904766244417E-2</v>
      </c>
      <c r="BA108" s="51"/>
      <c r="BB108" s="113"/>
      <c r="BC108" s="170"/>
      <c r="BD108" s="171"/>
      <c r="BE108" s="171"/>
      <c r="BF108" s="91"/>
      <c r="BG108" s="91"/>
      <c r="BH108" s="172"/>
      <c r="BJ108" s="91"/>
      <c r="BK108" s="91"/>
      <c r="BL108" s="96"/>
      <c r="BM108" s="97"/>
      <c r="BN108" s="97"/>
      <c r="BO108" s="96"/>
      <c r="BP108" s="97"/>
      <c r="BQ108" s="97"/>
      <c r="BR108" s="97"/>
      <c r="BS108" s="97"/>
      <c r="BU108" s="113"/>
      <c r="BV108" s="113"/>
      <c r="BW108" s="113"/>
      <c r="BX108" s="113"/>
      <c r="BY108" s="113"/>
    </row>
    <row r="109" spans="1:77" ht="12" customHeight="1">
      <c r="A109" s="49">
        <v>46082</v>
      </c>
      <c r="B109" s="49" t="s">
        <v>67</v>
      </c>
      <c r="C109" s="85">
        <f t="shared" ref="C109:C166" si="20">SUM(D109,Z109)</f>
        <v>266210</v>
      </c>
      <c r="D109" s="86">
        <f>ROUNDDOWN(SUM(E109:Y109),-1)</f>
        <v>184560</v>
      </c>
      <c r="E109" s="87">
        <v>33520</v>
      </c>
      <c r="F109" s="87">
        <v>24840</v>
      </c>
      <c r="G109" s="87">
        <v>13710</v>
      </c>
      <c r="H109" s="87">
        <v>470</v>
      </c>
      <c r="I109" s="87">
        <v>640</v>
      </c>
      <c r="J109" s="87">
        <v>2900</v>
      </c>
      <c r="K109" s="87">
        <v>410</v>
      </c>
      <c r="L109" s="87">
        <v>3220</v>
      </c>
      <c r="M109" s="87">
        <v>570</v>
      </c>
      <c r="N109" s="87">
        <v>290</v>
      </c>
      <c r="O109" s="87">
        <v>1240</v>
      </c>
      <c r="P109" s="88">
        <v>38020</v>
      </c>
      <c r="Q109" s="87">
        <v>27410</v>
      </c>
      <c r="R109" s="87">
        <v>5770</v>
      </c>
      <c r="S109" s="87"/>
      <c r="T109" s="87">
        <v>0</v>
      </c>
      <c r="U109" s="88">
        <v>6900</v>
      </c>
      <c r="V109" s="87">
        <v>2470</v>
      </c>
      <c r="W109" s="89">
        <v>19050</v>
      </c>
      <c r="X109" s="87">
        <v>3000</v>
      </c>
      <c r="Y109" s="87">
        <v>130</v>
      </c>
      <c r="Z109" s="90">
        <v>81650</v>
      </c>
      <c r="AA109" s="129"/>
      <c r="AB109" s="92">
        <v>247</v>
      </c>
      <c r="AC109" s="92">
        <v>6</v>
      </c>
      <c r="AD109" s="93">
        <v>1.05</v>
      </c>
      <c r="AE109" s="118">
        <v>77</v>
      </c>
      <c r="AF109" s="92">
        <v>3808</v>
      </c>
      <c r="AG109" s="92">
        <f t="shared" si="12"/>
        <v>77</v>
      </c>
      <c r="AH109" s="123"/>
      <c r="AI109" s="92">
        <f t="shared" si="11"/>
        <v>153.92712550607288</v>
      </c>
      <c r="AJ109" s="92">
        <f>U109/AC109</f>
        <v>1150</v>
      </c>
      <c r="AK109" s="92">
        <f t="shared" si="13"/>
        <v>123.80952380952381</v>
      </c>
      <c r="AL109" s="92">
        <f t="shared" si="19"/>
        <v>1060.3896103896104</v>
      </c>
      <c r="AM109" s="92"/>
      <c r="AN109" s="92">
        <f t="shared" si="15"/>
        <v>139510</v>
      </c>
      <c r="AO109" s="92">
        <f t="shared" si="16"/>
        <v>126700</v>
      </c>
      <c r="AP109" s="148"/>
      <c r="AQ109" s="175"/>
      <c r="AR109" s="145"/>
      <c r="AS109" s="145"/>
      <c r="AT109" s="169">
        <f t="shared" si="18"/>
        <v>-3.5954448529102172E-2</v>
      </c>
      <c r="AU109" s="169">
        <f t="shared" si="18"/>
        <v>0</v>
      </c>
      <c r="AV109" s="169">
        <f t="shared" si="18"/>
        <v>-1.4109347442680848E-2</v>
      </c>
      <c r="AW109" s="169">
        <f t="shared" si="18"/>
        <v>1.9266725871052183E-3</v>
      </c>
      <c r="AX109" s="169">
        <f t="shared" si="8"/>
        <v>3.3407407407407406E-2</v>
      </c>
      <c r="AY109" s="169">
        <f t="shared" si="8"/>
        <v>-0.17860615883306322</v>
      </c>
      <c r="AZ109" s="169">
        <f t="shared" si="9"/>
        <v>-7.9654278305963694E-2</v>
      </c>
      <c r="BA109" s="51"/>
      <c r="BB109" s="48"/>
      <c r="BC109" s="170"/>
      <c r="BD109" s="171"/>
      <c r="BE109" s="171"/>
      <c r="BF109" s="91"/>
      <c r="BG109" s="91"/>
      <c r="BH109" s="172"/>
      <c r="BJ109" s="91"/>
      <c r="BK109" s="91"/>
      <c r="BL109" s="96"/>
      <c r="BM109" s="97"/>
      <c r="BN109" s="97"/>
      <c r="BO109" s="96"/>
      <c r="BP109" s="97"/>
      <c r="BQ109" s="97"/>
      <c r="BR109" s="97"/>
      <c r="BS109" s="97"/>
      <c r="BU109" s="113"/>
      <c r="BV109" s="113"/>
      <c r="BW109" s="113"/>
      <c r="BX109" s="113"/>
      <c r="BY109" s="113"/>
    </row>
    <row r="110" spans="1:77" ht="12" customHeight="1">
      <c r="A110" s="49">
        <v>46113</v>
      </c>
      <c r="B110" s="49" t="s">
        <v>68</v>
      </c>
      <c r="C110" s="85">
        <f t="shared" si="20"/>
        <v>224700</v>
      </c>
      <c r="D110" s="86">
        <f t="shared" ref="D110:D121" si="21">ROUNDDOWN(SUM(E110:Y110),-1)</f>
        <v>174220</v>
      </c>
      <c r="E110" s="87">
        <v>33480</v>
      </c>
      <c r="F110" s="87">
        <v>25270</v>
      </c>
      <c r="G110" s="87">
        <v>13710</v>
      </c>
      <c r="H110" s="87">
        <v>470</v>
      </c>
      <c r="I110" s="87">
        <v>640</v>
      </c>
      <c r="J110" s="87">
        <v>7550</v>
      </c>
      <c r="K110" s="87">
        <v>410</v>
      </c>
      <c r="L110" s="87">
        <v>3220</v>
      </c>
      <c r="M110" s="87">
        <v>730</v>
      </c>
      <c r="N110" s="87">
        <v>290</v>
      </c>
      <c r="O110" s="87">
        <v>1270</v>
      </c>
      <c r="P110" s="88">
        <v>30600</v>
      </c>
      <c r="Q110" s="87">
        <v>19220</v>
      </c>
      <c r="R110" s="87">
        <v>4810</v>
      </c>
      <c r="S110" s="87"/>
      <c r="T110" s="87">
        <v>0</v>
      </c>
      <c r="U110" s="88">
        <v>8050</v>
      </c>
      <c r="V110" s="87">
        <v>2450</v>
      </c>
      <c r="W110" s="89">
        <v>19050</v>
      </c>
      <c r="X110" s="87">
        <v>3000</v>
      </c>
      <c r="Y110" s="87">
        <v>0</v>
      </c>
      <c r="Z110" s="90">
        <v>50480</v>
      </c>
      <c r="AA110" s="129"/>
      <c r="AB110" s="92">
        <v>216</v>
      </c>
      <c r="AC110" s="92">
        <v>7</v>
      </c>
      <c r="AD110" s="93">
        <v>0</v>
      </c>
      <c r="AE110" s="118">
        <v>47</v>
      </c>
      <c r="AF110" s="92">
        <v>3855</v>
      </c>
      <c r="AG110" s="92">
        <f t="shared" si="12"/>
        <v>47</v>
      </c>
      <c r="AH110" s="129"/>
      <c r="AI110" s="92">
        <f t="shared" si="11"/>
        <v>141.66666666666666</v>
      </c>
      <c r="AJ110" s="92">
        <f>U110/AC110</f>
        <v>1150</v>
      </c>
      <c r="AK110" s="92" t="str">
        <f t="shared" si="13"/>
        <v/>
      </c>
      <c r="AL110" s="92">
        <f t="shared" si="19"/>
        <v>1074.0425531914893</v>
      </c>
      <c r="AM110" s="92"/>
      <c r="AN110" s="92">
        <f t="shared" si="15"/>
        <v>135570</v>
      </c>
      <c r="AO110" s="92">
        <f t="shared" si="16"/>
        <v>89130</v>
      </c>
      <c r="AP110" s="166">
        <v>-8570</v>
      </c>
      <c r="AQ110" s="145"/>
      <c r="AR110" s="145"/>
      <c r="AS110" s="145"/>
      <c r="AT110" s="169">
        <f t="shared" si="18"/>
        <v>-4.5614035087719364E-2</v>
      </c>
      <c r="AU110" s="169">
        <f t="shared" si="18"/>
        <v>0</v>
      </c>
      <c r="AV110" s="169" t="str">
        <f t="shared" si="18"/>
        <v/>
      </c>
      <c r="AW110" s="169">
        <f t="shared" si="18"/>
        <v>5.7288925644688338E-3</v>
      </c>
      <c r="AX110" s="169">
        <f t="shared" si="8"/>
        <v>4.2605552564792738E-2</v>
      </c>
      <c r="AY110" s="169">
        <f t="shared" si="8"/>
        <v>-6.7677824267782433E-2</v>
      </c>
      <c r="AZ110" s="169">
        <f t="shared" si="9"/>
        <v>-4.1217923148517488E-3</v>
      </c>
      <c r="BA110" s="51"/>
      <c r="BB110" s="113"/>
      <c r="BC110" s="170"/>
      <c r="BD110" s="171"/>
      <c r="BE110" s="171"/>
      <c r="BF110" s="91"/>
      <c r="BG110" s="91"/>
      <c r="BH110" s="172"/>
      <c r="BJ110" s="91"/>
      <c r="BK110" s="91"/>
      <c r="BL110" s="96"/>
      <c r="BM110" s="97"/>
      <c r="BN110" s="97"/>
      <c r="BO110" s="96"/>
      <c r="BP110" s="97"/>
      <c r="BQ110" s="97"/>
      <c r="BR110" s="97"/>
      <c r="BS110" s="97"/>
      <c r="BU110" s="113"/>
      <c r="BV110" s="113"/>
      <c r="BW110" s="113"/>
      <c r="BX110" s="113"/>
      <c r="BY110" s="113"/>
    </row>
    <row r="111" spans="1:77" ht="12" customHeight="1">
      <c r="A111" s="49">
        <v>46143</v>
      </c>
      <c r="B111" s="49" t="s">
        <v>69</v>
      </c>
      <c r="C111" s="85">
        <f t="shared" si="20"/>
        <v>190080</v>
      </c>
      <c r="D111" s="86">
        <f t="shared" si="21"/>
        <v>177250</v>
      </c>
      <c r="E111" s="87">
        <v>33510</v>
      </c>
      <c r="F111" s="87">
        <v>25110</v>
      </c>
      <c r="G111" s="87">
        <v>13710</v>
      </c>
      <c r="H111" s="87">
        <v>470</v>
      </c>
      <c r="I111" s="87">
        <v>640</v>
      </c>
      <c r="J111" s="87">
        <v>3260</v>
      </c>
      <c r="K111" s="87">
        <v>410</v>
      </c>
      <c r="L111" s="87">
        <v>2520</v>
      </c>
      <c r="M111" s="87">
        <v>160</v>
      </c>
      <c r="N111" s="87">
        <v>290</v>
      </c>
      <c r="O111" s="87">
        <v>920</v>
      </c>
      <c r="P111" s="88">
        <v>32520</v>
      </c>
      <c r="Q111" s="87">
        <v>17500</v>
      </c>
      <c r="R111" s="87">
        <v>5690</v>
      </c>
      <c r="S111" s="87"/>
      <c r="T111" s="87">
        <v>0</v>
      </c>
      <c r="U111" s="88">
        <v>8050</v>
      </c>
      <c r="V111" s="87">
        <v>2500</v>
      </c>
      <c r="W111" s="89">
        <v>26990</v>
      </c>
      <c r="X111" s="87">
        <v>3000</v>
      </c>
      <c r="Y111" s="87">
        <v>0</v>
      </c>
      <c r="Z111" s="90">
        <v>12830</v>
      </c>
      <c r="AA111" s="129"/>
      <c r="AB111" s="92">
        <v>221</v>
      </c>
      <c r="AC111" s="92">
        <v>7</v>
      </c>
      <c r="AD111" s="93">
        <v>0</v>
      </c>
      <c r="AE111" s="118">
        <v>11</v>
      </c>
      <c r="AF111" s="92">
        <v>3866</v>
      </c>
      <c r="AG111" s="92">
        <f t="shared" si="12"/>
        <v>11</v>
      </c>
      <c r="AH111" s="123"/>
      <c r="AI111" s="92">
        <f t="shared" si="11"/>
        <v>147.14932126696831</v>
      </c>
      <c r="AJ111" s="92">
        <f t="shared" si="14"/>
        <v>1150</v>
      </c>
      <c r="AK111" s="92" t="str">
        <f t="shared" si="13"/>
        <v/>
      </c>
      <c r="AL111" s="92">
        <f t="shared" si="19"/>
        <v>1166.3636363636363</v>
      </c>
      <c r="AM111" s="124"/>
      <c r="AN111" s="92">
        <f t="shared" si="15"/>
        <v>136680</v>
      </c>
      <c r="AO111" s="92">
        <f t="shared" si="16"/>
        <v>53400</v>
      </c>
      <c r="AP111" s="166">
        <f>AP110</f>
        <v>-8570</v>
      </c>
      <c r="AQ111" s="145"/>
      <c r="AR111" s="145"/>
      <c r="AS111" s="145"/>
      <c r="AT111" s="169">
        <f t="shared" si="18"/>
        <v>-2.3774829358080367E-3</v>
      </c>
      <c r="AU111" s="169">
        <f t="shared" si="18"/>
        <v>0</v>
      </c>
      <c r="AV111" s="169" t="str">
        <f t="shared" si="18"/>
        <v/>
      </c>
      <c r="AW111" s="169">
        <f t="shared" si="18"/>
        <v>3.9123630672926093E-3</v>
      </c>
      <c r="AX111" s="169">
        <f t="shared" si="8"/>
        <v>4.6153846153846156E-2</v>
      </c>
      <c r="AY111" s="169">
        <f t="shared" si="8"/>
        <v>-9.3545369504209543E-4</v>
      </c>
      <c r="AZ111" s="169">
        <f t="shared" si="9"/>
        <v>3.2482346550787612E-2</v>
      </c>
      <c r="BA111" s="51"/>
      <c r="BB111" s="113"/>
      <c r="BC111" s="170"/>
      <c r="BD111" s="171"/>
      <c r="BE111" s="171"/>
      <c r="BF111" s="91"/>
      <c r="BG111" s="91"/>
      <c r="BH111" s="172"/>
      <c r="BJ111" s="91"/>
      <c r="BK111" s="91"/>
      <c r="BL111" s="96"/>
      <c r="BM111" s="97"/>
      <c r="BN111" s="97"/>
      <c r="BO111" s="96"/>
      <c r="BP111" s="97"/>
      <c r="BQ111" s="97"/>
      <c r="BR111" s="97"/>
      <c r="BS111" s="97"/>
      <c r="BU111" s="113"/>
      <c r="BV111" s="113"/>
      <c r="BW111" s="113"/>
      <c r="BX111" s="113"/>
      <c r="BY111" s="113"/>
    </row>
    <row r="112" spans="1:77" ht="12" customHeight="1">
      <c r="A112" s="49">
        <v>46174</v>
      </c>
      <c r="B112" s="49" t="s">
        <v>70</v>
      </c>
      <c r="C112" s="85">
        <f t="shared" si="20"/>
        <v>171860</v>
      </c>
      <c r="D112" s="86">
        <f t="shared" si="21"/>
        <v>164800</v>
      </c>
      <c r="E112" s="87">
        <v>34150</v>
      </c>
      <c r="F112" s="87">
        <v>24460</v>
      </c>
      <c r="G112" s="87">
        <v>13710</v>
      </c>
      <c r="H112" s="87">
        <v>470</v>
      </c>
      <c r="I112" s="87">
        <v>640</v>
      </c>
      <c r="J112" s="87">
        <v>3630</v>
      </c>
      <c r="K112" s="87">
        <v>410</v>
      </c>
      <c r="L112" s="87">
        <v>2520</v>
      </c>
      <c r="M112" s="87">
        <v>430</v>
      </c>
      <c r="N112" s="87">
        <v>290</v>
      </c>
      <c r="O112" s="87">
        <v>1170</v>
      </c>
      <c r="P112" s="88">
        <v>26940</v>
      </c>
      <c r="Q112" s="87">
        <v>12450</v>
      </c>
      <c r="R112" s="87">
        <v>4250</v>
      </c>
      <c r="S112" s="87"/>
      <c r="T112" s="87">
        <v>0</v>
      </c>
      <c r="U112" s="88">
        <v>6900</v>
      </c>
      <c r="V112" s="87">
        <v>2190</v>
      </c>
      <c r="W112" s="89">
        <v>26990</v>
      </c>
      <c r="X112" s="87">
        <v>3000</v>
      </c>
      <c r="Y112" s="87">
        <v>200</v>
      </c>
      <c r="Z112" s="90">
        <v>7060</v>
      </c>
      <c r="AA112" s="129"/>
      <c r="AB112" s="92">
        <v>196</v>
      </c>
      <c r="AC112" s="92">
        <v>6</v>
      </c>
      <c r="AD112" s="93">
        <v>1.55</v>
      </c>
      <c r="AE112" s="118">
        <v>5</v>
      </c>
      <c r="AF112" s="92">
        <v>3</v>
      </c>
      <c r="AG112" s="92">
        <v>5</v>
      </c>
      <c r="AH112" s="129"/>
      <c r="AI112" s="92">
        <f t="shared" si="11"/>
        <v>137.44897959183675</v>
      </c>
      <c r="AJ112" s="92">
        <f t="shared" si="14"/>
        <v>1150</v>
      </c>
      <c r="AK112" s="92">
        <f t="shared" si="13"/>
        <v>129.03225806451613</v>
      </c>
      <c r="AL112" s="92">
        <f t="shared" si="19"/>
        <v>1412</v>
      </c>
      <c r="AM112" s="92"/>
      <c r="AN112" s="92">
        <f t="shared" si="15"/>
        <v>130760</v>
      </c>
      <c r="AO112" s="92">
        <f t="shared" si="16"/>
        <v>41100</v>
      </c>
      <c r="AP112" s="166">
        <f t="shared" ref="AP112:AP117" si="22">AP111</f>
        <v>-8570</v>
      </c>
      <c r="AQ112" s="145"/>
      <c r="AR112" s="145"/>
      <c r="AS112" s="145"/>
      <c r="AT112" s="169">
        <f t="shared" si="18"/>
        <v>-3.9929015084293751E-3</v>
      </c>
      <c r="AU112" s="169">
        <f t="shared" si="18"/>
        <v>0</v>
      </c>
      <c r="AV112" s="169">
        <f t="shared" si="18"/>
        <v>0.48883374689826292</v>
      </c>
      <c r="AW112" s="169">
        <f t="shared" si="18"/>
        <v>0.36865912762520187</v>
      </c>
      <c r="AX112" s="169">
        <f t="shared" si="8"/>
        <v>1.6006216006216007E-2</v>
      </c>
      <c r="AY112" s="169">
        <f t="shared" si="8"/>
        <v>6.8593826555609994E-3</v>
      </c>
      <c r="AZ112" s="169">
        <f t="shared" si="9"/>
        <v>1.3803680981595092E-2</v>
      </c>
      <c r="BA112" s="51"/>
      <c r="BB112" s="48"/>
      <c r="BC112" s="170"/>
      <c r="BD112" s="171"/>
      <c r="BE112" s="171"/>
      <c r="BF112" s="91"/>
      <c r="BG112" s="91"/>
      <c r="BH112" s="172"/>
      <c r="BJ112" s="91"/>
      <c r="BK112" s="91"/>
      <c r="BL112" s="96"/>
      <c r="BM112" s="97"/>
      <c r="BN112" s="97"/>
      <c r="BO112" s="96"/>
      <c r="BP112" s="97"/>
      <c r="BQ112" s="97"/>
      <c r="BR112" s="97"/>
      <c r="BS112" s="97"/>
      <c r="BU112" s="113"/>
      <c r="BV112" s="113"/>
      <c r="BW112" s="113"/>
      <c r="BX112" s="113"/>
      <c r="BY112" s="113"/>
    </row>
    <row r="113" spans="1:77" ht="12" customHeight="1">
      <c r="A113" s="49">
        <v>46204</v>
      </c>
      <c r="B113" s="49" t="s">
        <v>71</v>
      </c>
      <c r="C113" s="85">
        <f t="shared" si="20"/>
        <v>179340</v>
      </c>
      <c r="D113" s="86">
        <f t="shared" si="21"/>
        <v>175370</v>
      </c>
      <c r="E113" s="87">
        <v>35570</v>
      </c>
      <c r="F113" s="87">
        <v>24650</v>
      </c>
      <c r="G113" s="87">
        <v>13710</v>
      </c>
      <c r="H113" s="87">
        <v>470</v>
      </c>
      <c r="I113" s="87">
        <v>640</v>
      </c>
      <c r="J113" s="87">
        <v>2690</v>
      </c>
      <c r="K113" s="87">
        <v>410</v>
      </c>
      <c r="L113" s="87">
        <v>2520</v>
      </c>
      <c r="M113" s="87">
        <v>390</v>
      </c>
      <c r="N113" s="87">
        <v>290</v>
      </c>
      <c r="O113" s="87">
        <v>1360</v>
      </c>
      <c r="P113" s="88">
        <v>28310</v>
      </c>
      <c r="Q113" s="87">
        <v>15830</v>
      </c>
      <c r="R113" s="87">
        <v>6220</v>
      </c>
      <c r="S113" s="87"/>
      <c r="T113" s="87">
        <v>0</v>
      </c>
      <c r="U113" s="88">
        <v>9200</v>
      </c>
      <c r="V113" s="87">
        <v>2810</v>
      </c>
      <c r="W113" s="89">
        <v>26990</v>
      </c>
      <c r="X113" s="87">
        <v>3000</v>
      </c>
      <c r="Y113" s="87">
        <v>310</v>
      </c>
      <c r="Z113" s="90">
        <v>3970</v>
      </c>
      <c r="AA113" s="129"/>
      <c r="AB113" s="92">
        <v>201</v>
      </c>
      <c r="AC113" s="92">
        <v>8</v>
      </c>
      <c r="AD113" s="93">
        <v>2.4500000000000002</v>
      </c>
      <c r="AE113" s="118">
        <v>2</v>
      </c>
      <c r="AF113" s="92">
        <v>5</v>
      </c>
      <c r="AG113" s="92">
        <f t="shared" si="12"/>
        <v>2</v>
      </c>
      <c r="AH113" s="123"/>
      <c r="AI113" s="92">
        <f t="shared" si="11"/>
        <v>140.84577114427861</v>
      </c>
      <c r="AJ113" s="92">
        <f t="shared" si="14"/>
        <v>1150</v>
      </c>
      <c r="AK113" s="92">
        <f t="shared" si="13"/>
        <v>126.53061224489795</v>
      </c>
      <c r="AL113" s="92">
        <f t="shared" si="19"/>
        <v>1985</v>
      </c>
      <c r="AM113" s="92"/>
      <c r="AN113" s="92">
        <f t="shared" si="15"/>
        <v>137550</v>
      </c>
      <c r="AO113" s="92">
        <f t="shared" si="16"/>
        <v>41790</v>
      </c>
      <c r="AP113" s="166">
        <f t="shared" si="22"/>
        <v>-8570</v>
      </c>
      <c r="AQ113" s="145"/>
      <c r="AR113" s="145"/>
      <c r="AS113" s="145"/>
      <c r="AT113" s="169">
        <f t="shared" si="18"/>
        <v>-7.8254674055788856E-2</v>
      </c>
      <c r="AU113" s="169">
        <f t="shared" si="18"/>
        <v>0</v>
      </c>
      <c r="AV113" s="169">
        <f t="shared" si="18"/>
        <v>-8.2735797021512274E-3</v>
      </c>
      <c r="AW113" s="169">
        <f t="shared" si="18"/>
        <v>-0.15531914893617021</v>
      </c>
      <c r="AX113" s="169">
        <f t="shared" si="8"/>
        <v>6.8930680758470628E-2</v>
      </c>
      <c r="AY113" s="169">
        <f t="shared" si="8"/>
        <v>-0.13728323699421965</v>
      </c>
      <c r="AZ113" s="169">
        <f t="shared" si="9"/>
        <v>1.2533875338753388E-2</v>
      </c>
      <c r="BA113" s="51"/>
      <c r="BB113" s="113"/>
      <c r="BC113" s="170"/>
      <c r="BD113" s="171"/>
      <c r="BE113" s="171"/>
      <c r="BF113" s="91"/>
      <c r="BG113" s="91"/>
      <c r="BH113" s="172"/>
      <c r="BJ113" s="91"/>
      <c r="BK113" s="91"/>
      <c r="BL113" s="96"/>
      <c r="BM113" s="97"/>
      <c r="BN113" s="97"/>
      <c r="BO113" s="96"/>
      <c r="BP113" s="97"/>
      <c r="BQ113" s="97"/>
      <c r="BR113" s="97"/>
      <c r="BS113" s="97"/>
      <c r="BU113" s="113"/>
      <c r="BV113" s="113"/>
      <c r="BW113" s="113"/>
      <c r="BX113" s="113"/>
      <c r="BY113" s="113"/>
    </row>
    <row r="114" spans="1:77" ht="12" customHeight="1">
      <c r="A114" s="49">
        <v>46235</v>
      </c>
      <c r="B114" s="49" t="s">
        <v>72</v>
      </c>
      <c r="C114" s="176">
        <f t="shared" si="20"/>
        <v>186290</v>
      </c>
      <c r="D114" s="177">
        <f t="shared" si="21"/>
        <v>182320</v>
      </c>
      <c r="E114" s="127">
        <f t="shared" ref="E114:E119" si="23">E113</f>
        <v>35570</v>
      </c>
      <c r="F114" s="127">
        <v>25570</v>
      </c>
      <c r="G114" s="127">
        <f t="shared" ref="G114:H118" si="24">G113</f>
        <v>13710</v>
      </c>
      <c r="H114" s="127">
        <f t="shared" si="24"/>
        <v>470</v>
      </c>
      <c r="I114" s="127">
        <v>690</v>
      </c>
      <c r="J114" s="127">
        <v>7200</v>
      </c>
      <c r="K114" s="127">
        <v>430</v>
      </c>
      <c r="L114" s="127">
        <f t="shared" ref="L114:O117" si="25">L113</f>
        <v>2520</v>
      </c>
      <c r="M114" s="127">
        <f t="shared" si="25"/>
        <v>390</v>
      </c>
      <c r="N114" s="127">
        <f t="shared" si="25"/>
        <v>290</v>
      </c>
      <c r="O114" s="127">
        <f t="shared" si="25"/>
        <v>1360</v>
      </c>
      <c r="P114" s="178">
        <v>31200</v>
      </c>
      <c r="Q114" s="127">
        <v>16970</v>
      </c>
      <c r="R114" s="127">
        <f t="shared" ref="R114:R117" si="26">R113</f>
        <v>6220</v>
      </c>
      <c r="S114" s="127"/>
      <c r="T114" s="127">
        <v>0</v>
      </c>
      <c r="U114" s="178">
        <v>8050</v>
      </c>
      <c r="V114" s="127">
        <v>1500</v>
      </c>
      <c r="W114" s="89">
        <v>26990</v>
      </c>
      <c r="X114" s="127">
        <v>3000</v>
      </c>
      <c r="Y114" s="127">
        <v>195</v>
      </c>
      <c r="Z114" s="179">
        <f t="shared" ref="Z114:Z118" si="27">AE114*AL114</f>
        <v>3970</v>
      </c>
      <c r="AA114" s="123"/>
      <c r="AB114" s="92">
        <v>214</v>
      </c>
      <c r="AC114" s="124">
        <v>7</v>
      </c>
      <c r="AD114" s="180">
        <v>1.5</v>
      </c>
      <c r="AE114" s="181">
        <v>2</v>
      </c>
      <c r="AF114" s="182">
        <f t="shared" ref="AF114:AF166" si="28">AF113+AG114</f>
        <v>9</v>
      </c>
      <c r="AG114" s="182">
        <v>4</v>
      </c>
      <c r="AH114" s="123"/>
      <c r="AI114" s="124">
        <v>155.01519607843139</v>
      </c>
      <c r="AJ114" s="92">
        <f t="shared" si="14"/>
        <v>1150</v>
      </c>
      <c r="AK114" s="124">
        <v>130</v>
      </c>
      <c r="AL114" s="124">
        <f t="shared" ref="AL114:AL118" si="29">AL113</f>
        <v>1985</v>
      </c>
      <c r="AM114" s="124"/>
      <c r="AN114" s="124">
        <f t="shared" si="15"/>
        <v>142880</v>
      </c>
      <c r="AO114" s="124">
        <f t="shared" si="16"/>
        <v>43415</v>
      </c>
      <c r="AP114" s="166">
        <f t="shared" si="22"/>
        <v>-8570</v>
      </c>
      <c r="AQ114" s="175"/>
      <c r="AR114" s="145"/>
      <c r="AS114" s="145"/>
      <c r="AT114" s="183">
        <f t="shared" si="18"/>
        <v>-2.7626248799803042E-2</v>
      </c>
      <c r="AU114" s="183">
        <f t="shared" si="18"/>
        <v>0</v>
      </c>
      <c r="AV114" s="183">
        <f t="shared" si="18"/>
        <v>8.620689655172438E-3</v>
      </c>
      <c r="AW114" s="183">
        <f t="shared" si="18"/>
        <v>0.4489051094890511</v>
      </c>
      <c r="AX114" s="183">
        <f t="shared" si="8"/>
        <v>8.2670303856937188E-2</v>
      </c>
      <c r="AY114" s="183">
        <f t="shared" si="8"/>
        <v>-0.26577033654659227</v>
      </c>
      <c r="AZ114" s="183">
        <f t="shared" si="9"/>
        <v>-2.5170068027210883E-2</v>
      </c>
      <c r="BA114" s="51"/>
      <c r="BB114" s="113"/>
      <c r="BC114" s="170"/>
      <c r="BD114" s="171"/>
      <c r="BE114" s="171"/>
      <c r="BF114" s="91"/>
      <c r="BG114" s="91"/>
      <c r="BH114" s="172"/>
      <c r="BJ114" s="91"/>
      <c r="BK114" s="91"/>
      <c r="BL114" s="96"/>
      <c r="BM114" s="97"/>
      <c r="BN114" s="97"/>
      <c r="BO114" s="96"/>
      <c r="BP114" s="97"/>
      <c r="BQ114" s="97"/>
      <c r="BR114" s="97"/>
      <c r="BS114" s="97"/>
      <c r="BU114" s="113"/>
      <c r="BV114" s="113"/>
      <c r="BW114" s="113"/>
      <c r="BX114" s="113"/>
      <c r="BY114" s="113"/>
    </row>
    <row r="115" spans="1:77" ht="12" customHeight="1">
      <c r="A115" s="49">
        <v>46266</v>
      </c>
      <c r="B115" s="49" t="s">
        <v>73</v>
      </c>
      <c r="C115" s="176">
        <f t="shared" si="20"/>
        <v>200480</v>
      </c>
      <c r="D115" s="177">
        <f t="shared" si="21"/>
        <v>196510</v>
      </c>
      <c r="E115" s="127">
        <f t="shared" si="23"/>
        <v>35570</v>
      </c>
      <c r="F115" s="127">
        <v>25570</v>
      </c>
      <c r="G115" s="127">
        <f t="shared" si="24"/>
        <v>13710</v>
      </c>
      <c r="H115" s="127">
        <f t="shared" si="24"/>
        <v>470</v>
      </c>
      <c r="I115" s="127">
        <v>690</v>
      </c>
      <c r="J115" s="127">
        <v>7200</v>
      </c>
      <c r="K115" s="127">
        <v>430</v>
      </c>
      <c r="L115" s="127">
        <f t="shared" si="25"/>
        <v>2520</v>
      </c>
      <c r="M115" s="127">
        <f t="shared" si="25"/>
        <v>390</v>
      </c>
      <c r="N115" s="127">
        <f t="shared" si="25"/>
        <v>290</v>
      </c>
      <c r="O115" s="127">
        <f t="shared" si="25"/>
        <v>1360</v>
      </c>
      <c r="P115" s="178">
        <v>43760</v>
      </c>
      <c r="Q115" s="127">
        <v>18600</v>
      </c>
      <c r="R115" s="127">
        <f t="shared" si="26"/>
        <v>6220</v>
      </c>
      <c r="S115" s="127"/>
      <c r="T115" s="127">
        <v>0</v>
      </c>
      <c r="U115" s="178">
        <v>8050</v>
      </c>
      <c r="V115" s="127">
        <v>1500</v>
      </c>
      <c r="W115" s="89">
        <v>26990</v>
      </c>
      <c r="X115" s="127">
        <v>3000</v>
      </c>
      <c r="Y115" s="127">
        <v>195</v>
      </c>
      <c r="Z115" s="179">
        <f t="shared" si="27"/>
        <v>3970</v>
      </c>
      <c r="AA115" s="123"/>
      <c r="AB115" s="124">
        <v>291</v>
      </c>
      <c r="AC115" s="124">
        <v>7</v>
      </c>
      <c r="AD115" s="180">
        <v>1.5</v>
      </c>
      <c r="AE115" s="181">
        <v>2</v>
      </c>
      <c r="AF115" s="182">
        <f t="shared" si="28"/>
        <v>13</v>
      </c>
      <c r="AG115" s="182">
        <v>4</v>
      </c>
      <c r="AH115" s="123"/>
      <c r="AI115" s="124">
        <v>154.6730137741047</v>
      </c>
      <c r="AJ115" s="92">
        <f t="shared" si="14"/>
        <v>1150</v>
      </c>
      <c r="AK115" s="124">
        <v>130</v>
      </c>
      <c r="AL115" s="124">
        <f t="shared" si="29"/>
        <v>1985</v>
      </c>
      <c r="AM115" s="124"/>
      <c r="AN115" s="124">
        <f t="shared" si="15"/>
        <v>144510</v>
      </c>
      <c r="AO115" s="124">
        <f t="shared" si="16"/>
        <v>55975</v>
      </c>
      <c r="AP115" s="166">
        <f t="shared" si="22"/>
        <v>-8570</v>
      </c>
      <c r="AQ115" s="175"/>
      <c r="AR115" s="145"/>
      <c r="AS115" s="145"/>
      <c r="AT115" s="183">
        <f t="shared" si="18"/>
        <v>-1.0509339492259531E-2</v>
      </c>
      <c r="AU115" s="183">
        <f t="shared" si="18"/>
        <v>0</v>
      </c>
      <c r="AV115" s="183">
        <f t="shared" si="18"/>
        <v>4.5454545454545843E-3</v>
      </c>
      <c r="AW115" s="183">
        <f t="shared" si="18"/>
        <v>0.4489051094890511</v>
      </c>
      <c r="AX115" s="183">
        <f t="shared" si="8"/>
        <v>8.9736822260764654E-2</v>
      </c>
      <c r="AY115" s="183">
        <f t="shared" si="8"/>
        <v>-0.22148817802503476</v>
      </c>
      <c r="AZ115" s="183">
        <f t="shared" si="9"/>
        <v>-1.9705637866119015E-2</v>
      </c>
      <c r="BA115" s="51"/>
      <c r="BB115" s="113"/>
      <c r="BC115" s="170"/>
      <c r="BD115" s="171"/>
      <c r="BE115" s="171"/>
      <c r="BF115" s="91"/>
      <c r="BG115" s="91"/>
      <c r="BH115" s="172"/>
      <c r="BJ115" s="91"/>
      <c r="BK115" s="91"/>
      <c r="BL115" s="96"/>
      <c r="BM115" s="97"/>
      <c r="BN115" s="97"/>
      <c r="BO115" s="96"/>
      <c r="BP115" s="97"/>
      <c r="BQ115" s="97"/>
      <c r="BR115" s="97"/>
      <c r="BS115" s="97"/>
      <c r="BU115" s="113"/>
      <c r="BV115" s="113"/>
      <c r="BW115" s="113"/>
      <c r="BX115" s="113"/>
      <c r="BY115" s="113"/>
    </row>
    <row r="116" spans="1:77" ht="12" customHeight="1">
      <c r="A116" s="49">
        <v>46296</v>
      </c>
      <c r="B116" s="49" t="s">
        <v>74</v>
      </c>
      <c r="C116" s="176">
        <f t="shared" si="20"/>
        <v>205020</v>
      </c>
      <c r="D116" s="177">
        <f t="shared" si="21"/>
        <v>201050</v>
      </c>
      <c r="E116" s="127">
        <f t="shared" si="23"/>
        <v>35570</v>
      </c>
      <c r="F116" s="127">
        <v>25570</v>
      </c>
      <c r="G116" s="127">
        <f t="shared" si="24"/>
        <v>13710</v>
      </c>
      <c r="H116" s="127">
        <f t="shared" si="24"/>
        <v>470</v>
      </c>
      <c r="I116" s="127">
        <v>690</v>
      </c>
      <c r="J116" s="127">
        <v>7200</v>
      </c>
      <c r="K116" s="127">
        <v>430</v>
      </c>
      <c r="L116" s="127">
        <f t="shared" si="25"/>
        <v>2520</v>
      </c>
      <c r="M116" s="127">
        <f t="shared" si="25"/>
        <v>390</v>
      </c>
      <c r="N116" s="127">
        <f t="shared" si="25"/>
        <v>290</v>
      </c>
      <c r="O116" s="127">
        <f t="shared" si="25"/>
        <v>1360</v>
      </c>
      <c r="P116" s="178">
        <v>46940</v>
      </c>
      <c r="Q116" s="127">
        <v>19960</v>
      </c>
      <c r="R116" s="127">
        <f t="shared" si="26"/>
        <v>6220</v>
      </c>
      <c r="S116" s="127"/>
      <c r="T116" s="127">
        <v>0</v>
      </c>
      <c r="U116" s="178">
        <v>8050</v>
      </c>
      <c r="V116" s="127">
        <v>1500</v>
      </c>
      <c r="W116" s="89">
        <v>26990</v>
      </c>
      <c r="X116" s="127">
        <v>3000</v>
      </c>
      <c r="Y116" s="127">
        <v>195</v>
      </c>
      <c r="Z116" s="179">
        <f t="shared" si="27"/>
        <v>3970</v>
      </c>
      <c r="AA116" s="123"/>
      <c r="AB116" s="124">
        <v>325</v>
      </c>
      <c r="AC116" s="124">
        <v>7</v>
      </c>
      <c r="AD116" s="180">
        <v>1.5</v>
      </c>
      <c r="AE116" s="181">
        <v>2</v>
      </c>
      <c r="AF116" s="182">
        <f t="shared" si="28"/>
        <v>18</v>
      </c>
      <c r="AG116" s="182">
        <v>5</v>
      </c>
      <c r="AH116" s="123"/>
      <c r="AI116" s="124">
        <v>161.15380323450137</v>
      </c>
      <c r="AJ116" s="92">
        <f t="shared" si="14"/>
        <v>1150</v>
      </c>
      <c r="AK116" s="124">
        <v>130</v>
      </c>
      <c r="AL116" s="124">
        <f t="shared" si="29"/>
        <v>1985</v>
      </c>
      <c r="AM116" s="124"/>
      <c r="AN116" s="124">
        <f t="shared" si="15"/>
        <v>145870</v>
      </c>
      <c r="AO116" s="124">
        <f t="shared" si="16"/>
        <v>59155</v>
      </c>
      <c r="AP116" s="166">
        <f t="shared" si="22"/>
        <v>-8570</v>
      </c>
      <c r="AQ116" s="175"/>
      <c r="AR116" s="145"/>
      <c r="AS116" s="145"/>
      <c r="AT116" s="183">
        <f t="shared" si="18"/>
        <v>3.6173766108599653E-2</v>
      </c>
      <c r="AU116" s="183">
        <f t="shared" si="18"/>
        <v>0</v>
      </c>
      <c r="AV116" s="183" t="str">
        <f t="shared" si="18"/>
        <v/>
      </c>
      <c r="AW116" s="183">
        <f t="shared" si="18"/>
        <v>0.4489051094890511</v>
      </c>
      <c r="AX116" s="183">
        <f t="shared" si="8"/>
        <v>0.10851888441370924</v>
      </c>
      <c r="AY116" s="183">
        <f t="shared" si="8"/>
        <v>-0.1112530048076923</v>
      </c>
      <c r="AZ116" s="183">
        <f t="shared" si="9"/>
        <v>3.4670704012112037E-2</v>
      </c>
      <c r="BA116" s="51"/>
      <c r="BB116" s="113"/>
      <c r="BC116" s="170"/>
      <c r="BD116" s="171"/>
      <c r="BE116" s="171"/>
      <c r="BF116" s="91"/>
      <c r="BG116" s="91"/>
      <c r="BH116" s="172"/>
      <c r="BJ116" s="91"/>
      <c r="BK116" s="91"/>
      <c r="BL116" s="96"/>
      <c r="BM116" s="97"/>
      <c r="BN116" s="97"/>
      <c r="BO116" s="96"/>
      <c r="BP116" s="97"/>
      <c r="BQ116" s="97"/>
      <c r="BR116" s="97"/>
      <c r="BS116" s="97"/>
      <c r="BU116" s="113"/>
      <c r="BV116" s="113"/>
      <c r="BW116" s="113"/>
      <c r="BX116" s="113"/>
      <c r="BY116" s="113"/>
    </row>
    <row r="117" spans="1:77" ht="12" customHeight="1">
      <c r="A117" s="49">
        <v>46327</v>
      </c>
      <c r="B117" s="49" t="s">
        <v>63</v>
      </c>
      <c r="C117" s="176">
        <f t="shared" si="20"/>
        <v>212895</v>
      </c>
      <c r="D117" s="177">
        <f t="shared" si="21"/>
        <v>187090</v>
      </c>
      <c r="E117" s="127">
        <f t="shared" si="23"/>
        <v>35570</v>
      </c>
      <c r="F117" s="127">
        <v>25570</v>
      </c>
      <c r="G117" s="127">
        <f t="shared" si="24"/>
        <v>13710</v>
      </c>
      <c r="H117" s="127">
        <f t="shared" si="24"/>
        <v>470</v>
      </c>
      <c r="I117" s="127">
        <v>690</v>
      </c>
      <c r="J117" s="127">
        <v>7200</v>
      </c>
      <c r="K117" s="127">
        <v>430</v>
      </c>
      <c r="L117" s="127">
        <f t="shared" si="25"/>
        <v>2520</v>
      </c>
      <c r="M117" s="127">
        <f t="shared" si="25"/>
        <v>390</v>
      </c>
      <c r="N117" s="127">
        <f t="shared" si="25"/>
        <v>290</v>
      </c>
      <c r="O117" s="127">
        <f t="shared" si="25"/>
        <v>1360</v>
      </c>
      <c r="P117" s="178">
        <v>34590</v>
      </c>
      <c r="Q117" s="127">
        <v>18350</v>
      </c>
      <c r="R117" s="127">
        <f t="shared" si="26"/>
        <v>6220</v>
      </c>
      <c r="S117" s="127"/>
      <c r="T117" s="127">
        <v>0</v>
      </c>
      <c r="U117" s="178">
        <v>8050</v>
      </c>
      <c r="V117" s="127">
        <v>1500</v>
      </c>
      <c r="W117" s="89">
        <v>26990</v>
      </c>
      <c r="X117" s="127">
        <v>3000</v>
      </c>
      <c r="Y117" s="127">
        <v>195</v>
      </c>
      <c r="Z117" s="179">
        <f t="shared" si="27"/>
        <v>25805</v>
      </c>
      <c r="AA117" s="123"/>
      <c r="AB117" s="124">
        <v>230</v>
      </c>
      <c r="AC117" s="124">
        <v>7</v>
      </c>
      <c r="AD117" s="180">
        <v>1.5</v>
      </c>
      <c r="AE117" s="181">
        <v>13</v>
      </c>
      <c r="AF117" s="182">
        <f t="shared" si="28"/>
        <v>36</v>
      </c>
      <c r="AG117" s="182">
        <v>18</v>
      </c>
      <c r="AH117" s="123"/>
      <c r="AI117" s="124">
        <v>232.66126923076922</v>
      </c>
      <c r="AJ117" s="92">
        <f t="shared" si="14"/>
        <v>1150</v>
      </c>
      <c r="AK117" s="124">
        <v>130</v>
      </c>
      <c r="AL117" s="124">
        <f t="shared" si="29"/>
        <v>1985</v>
      </c>
      <c r="AM117" s="124"/>
      <c r="AN117" s="124">
        <f t="shared" si="15"/>
        <v>144260</v>
      </c>
      <c r="AO117" s="124">
        <f t="shared" si="16"/>
        <v>68640</v>
      </c>
      <c r="AP117" s="166">
        <f t="shared" si="22"/>
        <v>-8570</v>
      </c>
      <c r="AQ117" s="175"/>
      <c r="AR117" s="145"/>
      <c r="AS117" s="145"/>
      <c r="AT117" s="183">
        <f t="shared" si="18"/>
        <v>0.58340900580106569</v>
      </c>
      <c r="AU117" s="183">
        <f t="shared" si="18"/>
        <v>0</v>
      </c>
      <c r="AV117" s="183">
        <f t="shared" si="18"/>
        <v>1.4000000000000005E-2</v>
      </c>
      <c r="AW117" s="183">
        <f t="shared" si="18"/>
        <v>0.91431750741839768</v>
      </c>
      <c r="AX117" s="183">
        <f t="shared" si="8"/>
        <v>9.9961875714830353E-2</v>
      </c>
      <c r="AY117" s="183">
        <f t="shared" si="8"/>
        <v>0.26176470588235295</v>
      </c>
      <c r="AZ117" s="183">
        <f t="shared" si="9"/>
        <v>0.14737267582861763</v>
      </c>
      <c r="BA117" s="51"/>
      <c r="BB117" s="113"/>
      <c r="BC117" s="170"/>
      <c r="BD117" s="171"/>
      <c r="BE117" s="171"/>
      <c r="BF117" s="91"/>
      <c r="BG117" s="91"/>
      <c r="BH117" s="172"/>
      <c r="BJ117" s="91"/>
      <c r="BK117" s="91"/>
      <c r="BL117" s="96"/>
      <c r="BM117" s="97"/>
      <c r="BN117" s="97"/>
      <c r="BO117" s="96"/>
      <c r="BP117" s="97"/>
      <c r="BQ117" s="97"/>
      <c r="BR117" s="97"/>
      <c r="BS117" s="97"/>
      <c r="BU117" s="113"/>
      <c r="BV117" s="113"/>
      <c r="BW117" s="113"/>
      <c r="BX117" s="113"/>
      <c r="BY117" s="113"/>
    </row>
    <row r="118" spans="1:77" ht="12" customHeight="1">
      <c r="A118" s="52">
        <v>46357</v>
      </c>
      <c r="B118" s="52" t="s">
        <v>64</v>
      </c>
      <c r="C118" s="184">
        <f t="shared" si="20"/>
        <v>285010</v>
      </c>
      <c r="D118" s="185">
        <f t="shared" si="21"/>
        <v>177820</v>
      </c>
      <c r="E118" s="186">
        <f t="shared" si="23"/>
        <v>35570</v>
      </c>
      <c r="F118" s="186">
        <v>25570</v>
      </c>
      <c r="G118" s="186">
        <f t="shared" si="24"/>
        <v>13710</v>
      </c>
      <c r="H118" s="186">
        <f t="shared" si="24"/>
        <v>470</v>
      </c>
      <c r="I118" s="186">
        <v>690</v>
      </c>
      <c r="J118" s="186">
        <v>7200</v>
      </c>
      <c r="K118" s="186">
        <v>430</v>
      </c>
      <c r="L118" s="186">
        <f>L117</f>
        <v>2520</v>
      </c>
      <c r="M118" s="186">
        <f>M117</f>
        <v>390</v>
      </c>
      <c r="N118" s="186">
        <f>N117</f>
        <v>290</v>
      </c>
      <c r="O118" s="186">
        <f>O117</f>
        <v>1360</v>
      </c>
      <c r="P118" s="187">
        <v>31410</v>
      </c>
      <c r="Q118" s="186">
        <v>12260</v>
      </c>
      <c r="R118" s="186">
        <f>R117</f>
        <v>6220</v>
      </c>
      <c r="S118" s="186"/>
      <c r="T118" s="186">
        <v>0</v>
      </c>
      <c r="U118" s="187">
        <v>8050</v>
      </c>
      <c r="V118" s="186">
        <v>1500</v>
      </c>
      <c r="W118" s="135">
        <v>26990</v>
      </c>
      <c r="X118" s="186">
        <v>3000</v>
      </c>
      <c r="Y118" s="186">
        <v>195</v>
      </c>
      <c r="Z118" s="188">
        <f t="shared" si="27"/>
        <v>107190</v>
      </c>
      <c r="AA118" s="137"/>
      <c r="AB118" s="137">
        <v>215</v>
      </c>
      <c r="AC118" s="137">
        <v>7</v>
      </c>
      <c r="AD118" s="189">
        <v>1.5</v>
      </c>
      <c r="AE118" s="190">
        <v>54</v>
      </c>
      <c r="AF118" s="191">
        <f t="shared" si="28"/>
        <v>90</v>
      </c>
      <c r="AG118" s="191">
        <v>54</v>
      </c>
      <c r="AH118" s="137"/>
      <c r="AI118" s="137">
        <v>171.71683333333331</v>
      </c>
      <c r="AJ118" s="138">
        <f t="shared" si="14"/>
        <v>1150</v>
      </c>
      <c r="AK118" s="137">
        <v>130</v>
      </c>
      <c r="AL118" s="137">
        <f t="shared" si="29"/>
        <v>1985</v>
      </c>
      <c r="AM118" s="137"/>
      <c r="AN118" s="137">
        <f t="shared" si="15"/>
        <v>138170</v>
      </c>
      <c r="AO118" s="137">
        <f t="shared" si="16"/>
        <v>146845</v>
      </c>
      <c r="AP118" s="167">
        <f>AP117</f>
        <v>-8570</v>
      </c>
      <c r="AQ118" s="192"/>
      <c r="AR118" s="141"/>
      <c r="AS118" s="141"/>
      <c r="AT118" s="193">
        <f t="shared" si="18"/>
        <v>0.32089871794871777</v>
      </c>
      <c r="AU118" s="193">
        <f t="shared" si="18"/>
        <v>0</v>
      </c>
      <c r="AV118" s="193" t="str">
        <f t="shared" si="18"/>
        <v/>
      </c>
      <c r="AW118" s="193">
        <f t="shared" si="18"/>
        <v>0.86400887826532335</v>
      </c>
      <c r="AX118" s="193">
        <f t="shared" si="8"/>
        <v>7.6929072486360092E-2</v>
      </c>
      <c r="AY118" s="193">
        <f t="shared" si="8"/>
        <v>0.5656786437786544</v>
      </c>
      <c r="AZ118" s="193">
        <f t="shared" si="9"/>
        <v>0.28330856859831599</v>
      </c>
      <c r="BA118" s="51"/>
      <c r="BB118" s="113"/>
      <c r="BC118" s="170"/>
      <c r="BD118" s="171"/>
      <c r="BE118" s="171"/>
      <c r="BF118" s="91"/>
      <c r="BG118" s="91"/>
      <c r="BH118" s="172"/>
      <c r="BJ118" s="91"/>
      <c r="BK118" s="91"/>
      <c r="BL118" s="96"/>
      <c r="BM118" s="97"/>
      <c r="BN118" s="97"/>
      <c r="BO118" s="96"/>
      <c r="BP118" s="97"/>
      <c r="BQ118" s="97"/>
      <c r="BR118" s="97"/>
      <c r="BS118" s="97"/>
      <c r="BU118" s="113"/>
      <c r="BV118" s="113"/>
      <c r="BW118" s="113"/>
      <c r="BX118" s="113"/>
      <c r="BY118" s="113"/>
    </row>
    <row r="119" spans="1:77" ht="12" customHeight="1">
      <c r="A119" s="49">
        <v>46388</v>
      </c>
      <c r="B119" s="49" t="s">
        <v>65</v>
      </c>
      <c r="C119" s="176">
        <f t="shared" si="20"/>
        <v>316640</v>
      </c>
      <c r="D119" s="177">
        <f t="shared" si="21"/>
        <v>185340</v>
      </c>
      <c r="E119" s="127">
        <f t="shared" si="23"/>
        <v>35570</v>
      </c>
      <c r="F119" s="127">
        <v>25570</v>
      </c>
      <c r="G119" s="127">
        <v>13410</v>
      </c>
      <c r="H119" s="127">
        <v>520</v>
      </c>
      <c r="I119" s="127">
        <v>690</v>
      </c>
      <c r="J119" s="127">
        <f>ROUND(J118*(1+3%),-1)</f>
        <v>7420</v>
      </c>
      <c r="K119" s="127">
        <v>430</v>
      </c>
      <c r="L119" s="127">
        <f>ROUND(L118*(1+$B$169),-1)</f>
        <v>2540</v>
      </c>
      <c r="M119" s="127">
        <f>ROUND(M118*(1+$B$169),-1)</f>
        <v>390</v>
      </c>
      <c r="N119" s="127">
        <f>ROUND(N118*(1+$B$169),-1)</f>
        <v>290</v>
      </c>
      <c r="O119" s="127">
        <f>ROUND(O118*(1+$B$169),-1)</f>
        <v>1370</v>
      </c>
      <c r="P119" s="178">
        <v>35524.778480000001</v>
      </c>
      <c r="Q119" s="127">
        <v>15480</v>
      </c>
      <c r="R119" s="127">
        <f>ROUND(R118*(1+$B$169),-1)</f>
        <v>6270</v>
      </c>
      <c r="S119" s="127"/>
      <c r="T119" s="127">
        <v>0</v>
      </c>
      <c r="U119" s="178">
        <v>8190</v>
      </c>
      <c r="V119" s="127">
        <v>1500</v>
      </c>
      <c r="W119" s="89">
        <v>26990</v>
      </c>
      <c r="X119" s="127">
        <v>3000</v>
      </c>
      <c r="Y119" s="127">
        <v>195</v>
      </c>
      <c r="Z119" s="179">
        <f>AE119*AL119</f>
        <v>131300</v>
      </c>
      <c r="AA119" s="124"/>
      <c r="AB119" s="124">
        <v>214</v>
      </c>
      <c r="AC119" s="124">
        <v>7</v>
      </c>
      <c r="AD119" s="180">
        <v>1.5</v>
      </c>
      <c r="AE119" s="181">
        <v>130</v>
      </c>
      <c r="AF119" s="182">
        <f t="shared" si="28"/>
        <v>220</v>
      </c>
      <c r="AG119" s="182">
        <v>130</v>
      </c>
      <c r="AH119" s="124"/>
      <c r="AI119" s="124">
        <v>166.00363775700936</v>
      </c>
      <c r="AJ119" s="92">
        <f t="shared" si="14"/>
        <v>1170</v>
      </c>
      <c r="AK119" s="124">
        <v>130</v>
      </c>
      <c r="AL119" s="124">
        <v>1010</v>
      </c>
      <c r="AM119" s="124"/>
      <c r="AN119" s="124">
        <f t="shared" si="15"/>
        <v>141440</v>
      </c>
      <c r="AO119" s="124">
        <f t="shared" si="16"/>
        <v>175209.77848000001</v>
      </c>
      <c r="AP119" s="109"/>
      <c r="AQ119" s="175"/>
      <c r="AR119" s="145"/>
      <c r="AS119" s="145"/>
      <c r="AT119" s="183">
        <f t="shared" si="18"/>
        <v>0.1299752570093459</v>
      </c>
      <c r="AU119" s="183">
        <f t="shared" si="18"/>
        <v>1.7391304347826087E-2</v>
      </c>
      <c r="AV119" s="183">
        <f t="shared" si="18"/>
        <v>0</v>
      </c>
      <c r="AW119" s="183">
        <f t="shared" si="18"/>
        <v>-4.3245469522240544E-2</v>
      </c>
      <c r="AX119" s="194">
        <f t="shared" si="8"/>
        <v>9.6519110008527795E-2</v>
      </c>
      <c r="AY119" s="194">
        <f t="shared" si="8"/>
        <v>0.27314182880395299</v>
      </c>
      <c r="AZ119" s="194">
        <f t="shared" si="9"/>
        <v>0.18765237612992761</v>
      </c>
      <c r="BA119" s="51"/>
      <c r="BB119" s="113"/>
      <c r="BC119" s="170"/>
      <c r="BD119" s="171"/>
      <c r="BE119" s="171"/>
      <c r="BF119" s="91"/>
      <c r="BG119" s="91"/>
      <c r="BH119" s="172"/>
      <c r="BJ119" s="91"/>
      <c r="BK119" s="91"/>
      <c r="BL119" s="96"/>
      <c r="BM119" s="97"/>
      <c r="BN119" s="97"/>
      <c r="BO119" s="96"/>
      <c r="BP119" s="97"/>
      <c r="BQ119" s="97"/>
      <c r="BR119" s="97"/>
      <c r="BS119" s="97"/>
      <c r="BU119" s="113"/>
      <c r="BV119" s="113"/>
      <c r="BW119" s="113"/>
      <c r="BX119" s="113"/>
      <c r="BY119" s="113"/>
    </row>
    <row r="120" spans="1:77" ht="12" customHeight="1" outlineLevel="1">
      <c r="A120" s="49">
        <v>46419</v>
      </c>
      <c r="B120" s="49" t="s">
        <v>66</v>
      </c>
      <c r="C120" s="176">
        <f t="shared" si="20"/>
        <v>323090</v>
      </c>
      <c r="D120" s="177">
        <f>ROUNDDOWN(SUM(E120:Y120),-1)</f>
        <v>190490</v>
      </c>
      <c r="E120" s="127">
        <f>E119*(1+$B$167)</f>
        <v>36014.625</v>
      </c>
      <c r="F120" s="127">
        <v>25890</v>
      </c>
      <c r="G120" s="127">
        <v>13580</v>
      </c>
      <c r="H120" s="127">
        <f>H119</f>
        <v>520</v>
      </c>
      <c r="I120" s="127">
        <v>700</v>
      </c>
      <c r="J120" s="127">
        <f>J119</f>
        <v>7420</v>
      </c>
      <c r="K120" s="127">
        <v>440</v>
      </c>
      <c r="L120" s="127">
        <f>L119</f>
        <v>2540</v>
      </c>
      <c r="M120" s="127">
        <f>M119</f>
        <v>390</v>
      </c>
      <c r="N120" s="127">
        <f>N119</f>
        <v>290</v>
      </c>
      <c r="O120" s="127">
        <f>O119</f>
        <v>1370</v>
      </c>
      <c r="P120" s="178">
        <v>37156.483497345136</v>
      </c>
      <c r="Q120" s="127">
        <v>17970</v>
      </c>
      <c r="R120" s="127">
        <f>R119</f>
        <v>6270</v>
      </c>
      <c r="S120" s="127"/>
      <c r="T120" s="127">
        <v>0</v>
      </c>
      <c r="U120" s="178">
        <v>8260</v>
      </c>
      <c r="V120" s="127">
        <v>1500</v>
      </c>
      <c r="W120" s="89">
        <v>26990</v>
      </c>
      <c r="X120" s="127">
        <v>3000</v>
      </c>
      <c r="Y120" s="127">
        <v>195</v>
      </c>
      <c r="Z120" s="179">
        <f>AE120*AL120</f>
        <v>132600</v>
      </c>
      <c r="AA120" s="123"/>
      <c r="AB120" s="124">
        <v>240</v>
      </c>
      <c r="AC120" s="124">
        <v>7</v>
      </c>
      <c r="AD120" s="180">
        <v>1.5</v>
      </c>
      <c r="AE120" s="181">
        <v>130</v>
      </c>
      <c r="AF120" s="182">
        <f t="shared" si="28"/>
        <v>350</v>
      </c>
      <c r="AG120" s="182">
        <v>130</v>
      </c>
      <c r="AH120" s="123"/>
      <c r="AI120" s="124">
        <v>154.81868123893807</v>
      </c>
      <c r="AJ120" s="92">
        <f t="shared" si="14"/>
        <v>1180</v>
      </c>
      <c r="AK120" s="124">
        <v>130</v>
      </c>
      <c r="AL120" s="124">
        <v>1020</v>
      </c>
      <c r="AM120" s="124"/>
      <c r="AN120" s="124">
        <f t="shared" si="15"/>
        <v>144884.625</v>
      </c>
      <c r="AO120" s="124">
        <f t="shared" si="16"/>
        <v>178211.48349734512</v>
      </c>
      <c r="AP120" s="63"/>
      <c r="AQ120" s="175"/>
      <c r="AR120" s="120"/>
      <c r="AS120" s="120"/>
      <c r="AT120" s="195">
        <f t="shared" si="18"/>
        <v>2.8592892177718082E-2</v>
      </c>
      <c r="AU120" s="195">
        <f t="shared" si="18"/>
        <v>2.6086956521739129E-2</v>
      </c>
      <c r="AV120" s="195">
        <f t="shared" si="18"/>
        <v>4.9999999999999996E-2</v>
      </c>
      <c r="AW120" s="195">
        <f t="shared" si="18"/>
        <v>-3.0389221556886233E-2</v>
      </c>
      <c r="AX120" s="183">
        <f t="shared" si="8"/>
        <v>5.3936313377464171E-2</v>
      </c>
      <c r="AY120" s="183">
        <f t="shared" si="8"/>
        <v>1.4294157639983618E-2</v>
      </c>
      <c r="AZ120" s="183">
        <f t="shared" si="9"/>
        <v>3.1676086470607018E-2</v>
      </c>
      <c r="BG120" s="91"/>
      <c r="BQ120" s="172"/>
    </row>
    <row r="121" spans="1:77" ht="12" customHeight="1" outlineLevel="1">
      <c r="A121" s="49">
        <v>46447</v>
      </c>
      <c r="B121" s="49" t="s">
        <v>67</v>
      </c>
      <c r="C121" s="176">
        <f t="shared" si="20"/>
        <v>302540</v>
      </c>
      <c r="D121" s="177">
        <f t="shared" si="21"/>
        <v>192380</v>
      </c>
      <c r="E121" s="127">
        <f>E120</f>
        <v>36014.625</v>
      </c>
      <c r="F121" s="127">
        <v>25890</v>
      </c>
      <c r="G121" s="127">
        <v>13580</v>
      </c>
      <c r="H121" s="127">
        <f t="shared" ref="H121:H130" si="30">H120</f>
        <v>520</v>
      </c>
      <c r="I121" s="127">
        <v>700</v>
      </c>
      <c r="J121" s="127">
        <f t="shared" ref="J121:O129" si="31">J120</f>
        <v>7420</v>
      </c>
      <c r="K121" s="127">
        <v>440</v>
      </c>
      <c r="L121" s="127">
        <f t="shared" si="31"/>
        <v>2540</v>
      </c>
      <c r="M121" s="127">
        <f t="shared" si="31"/>
        <v>390</v>
      </c>
      <c r="N121" s="127">
        <f t="shared" si="31"/>
        <v>290</v>
      </c>
      <c r="O121" s="127">
        <f t="shared" si="31"/>
        <v>1370</v>
      </c>
      <c r="P121" s="178">
        <v>38729.014590000006</v>
      </c>
      <c r="Q121" s="127">
        <v>18290</v>
      </c>
      <c r="R121" s="127">
        <f t="shared" ref="R121:R129" si="32">R120</f>
        <v>6270</v>
      </c>
      <c r="S121" s="127"/>
      <c r="T121" s="127">
        <v>0</v>
      </c>
      <c r="U121" s="178">
        <v>8260</v>
      </c>
      <c r="V121" s="127">
        <v>1500</v>
      </c>
      <c r="W121" s="89">
        <v>26990</v>
      </c>
      <c r="X121" s="127">
        <v>3000</v>
      </c>
      <c r="Y121" s="127">
        <v>195</v>
      </c>
      <c r="Z121" s="179">
        <f t="shared" ref="Z121:Z130" si="33">AE121*AL121</f>
        <v>110160</v>
      </c>
      <c r="AA121" s="123"/>
      <c r="AB121" s="124">
        <v>250</v>
      </c>
      <c r="AC121" s="124">
        <v>7</v>
      </c>
      <c r="AD121" s="180">
        <v>1.5</v>
      </c>
      <c r="AE121" s="181">
        <v>108</v>
      </c>
      <c r="AF121" s="182">
        <f t="shared" si="28"/>
        <v>458</v>
      </c>
      <c r="AG121" s="182">
        <v>108</v>
      </c>
      <c r="AH121" s="123"/>
      <c r="AI121" s="124">
        <v>154.91605836000002</v>
      </c>
      <c r="AJ121" s="92">
        <f t="shared" si="14"/>
        <v>1180</v>
      </c>
      <c r="AK121" s="124">
        <v>130</v>
      </c>
      <c r="AL121" s="124">
        <v>1020</v>
      </c>
      <c r="AM121" s="124"/>
      <c r="AN121" s="124">
        <f t="shared" si="15"/>
        <v>145204.625</v>
      </c>
      <c r="AO121" s="124">
        <f t="shared" si="16"/>
        <v>157344.01459000001</v>
      </c>
      <c r="AP121" s="148"/>
      <c r="AQ121" s="175"/>
      <c r="AR121" s="145"/>
      <c r="AS121" s="145"/>
      <c r="AT121" s="195">
        <f t="shared" si="18"/>
        <v>6.4246821388743635E-3</v>
      </c>
      <c r="AU121" s="195">
        <f t="shared" si="18"/>
        <v>2.6086956521739129E-2</v>
      </c>
      <c r="AV121" s="195">
        <f t="shared" si="18"/>
        <v>4.9999999999999996E-2</v>
      </c>
      <c r="AW121" s="195">
        <f t="shared" si="18"/>
        <v>-3.808940600122477E-2</v>
      </c>
      <c r="AX121" s="183">
        <f t="shared" si="8"/>
        <v>4.081875851193463E-2</v>
      </c>
      <c r="AY121" s="183">
        <f t="shared" si="8"/>
        <v>0.24186278287292823</v>
      </c>
      <c r="AZ121" s="183">
        <f t="shared" si="9"/>
        <v>0.136471206941888</v>
      </c>
      <c r="BG121" s="91"/>
      <c r="BQ121" s="172"/>
    </row>
    <row r="122" spans="1:77" ht="12" customHeight="1" outlineLevel="1">
      <c r="A122" s="49">
        <v>46478</v>
      </c>
      <c r="B122" s="49" t="s">
        <v>68</v>
      </c>
      <c r="C122" s="176">
        <f t="shared" si="20"/>
        <v>252690</v>
      </c>
      <c r="D122" s="177">
        <f t="shared" ref="D122:D166" si="34">ROUNDDOWN(SUM(E122:Y122),-1)</f>
        <v>185370</v>
      </c>
      <c r="E122" s="127">
        <f t="shared" ref="E122:E131" si="35">E121</f>
        <v>36014.625</v>
      </c>
      <c r="F122" s="127">
        <v>25890</v>
      </c>
      <c r="G122" s="127">
        <v>13580</v>
      </c>
      <c r="H122" s="127">
        <f t="shared" si="30"/>
        <v>520</v>
      </c>
      <c r="I122" s="127">
        <v>700</v>
      </c>
      <c r="J122" s="127">
        <f t="shared" si="31"/>
        <v>7420</v>
      </c>
      <c r="K122" s="127">
        <v>440</v>
      </c>
      <c r="L122" s="127">
        <f t="shared" si="31"/>
        <v>2540</v>
      </c>
      <c r="M122" s="127">
        <f t="shared" si="31"/>
        <v>390</v>
      </c>
      <c r="N122" s="127">
        <f t="shared" si="31"/>
        <v>290</v>
      </c>
      <c r="O122" s="127">
        <f t="shared" si="31"/>
        <v>1370</v>
      </c>
      <c r="P122" s="178">
        <v>34906.597880000008</v>
      </c>
      <c r="Q122" s="127">
        <v>15100</v>
      </c>
      <c r="R122" s="127">
        <f t="shared" si="32"/>
        <v>6270</v>
      </c>
      <c r="S122" s="127"/>
      <c r="T122" s="127">
        <v>0</v>
      </c>
      <c r="U122" s="178">
        <v>8260</v>
      </c>
      <c r="V122" s="127">
        <v>1500</v>
      </c>
      <c r="W122" s="89">
        <v>26990</v>
      </c>
      <c r="X122" s="127">
        <v>3000</v>
      </c>
      <c r="Y122" s="127">
        <v>195</v>
      </c>
      <c r="Z122" s="179">
        <f t="shared" si="33"/>
        <v>67320</v>
      </c>
      <c r="AA122" s="123"/>
      <c r="AB122" s="124">
        <v>207</v>
      </c>
      <c r="AC122" s="124">
        <v>7</v>
      </c>
      <c r="AD122" s="180">
        <v>1.5</v>
      </c>
      <c r="AE122" s="181">
        <v>66</v>
      </c>
      <c r="AF122" s="182">
        <f t="shared" si="28"/>
        <v>524</v>
      </c>
      <c r="AG122" s="182">
        <v>66</v>
      </c>
      <c r="AH122" s="123"/>
      <c r="AI122" s="124">
        <v>168.63090763285027</v>
      </c>
      <c r="AJ122" s="92">
        <f t="shared" si="14"/>
        <v>1180</v>
      </c>
      <c r="AK122" s="124">
        <v>130</v>
      </c>
      <c r="AL122" s="124">
        <v>1020</v>
      </c>
      <c r="AM122" s="124"/>
      <c r="AN122" s="124">
        <f t="shared" si="15"/>
        <v>142014.625</v>
      </c>
      <c r="AO122" s="124">
        <f t="shared" si="16"/>
        <v>110681.59788000002</v>
      </c>
      <c r="AP122" s="148"/>
      <c r="AQ122" s="175"/>
      <c r="AR122" s="145"/>
      <c r="AS122" s="145"/>
      <c r="AT122" s="195">
        <f t="shared" si="18"/>
        <v>0.19033581858482548</v>
      </c>
      <c r="AU122" s="195">
        <f t="shared" si="18"/>
        <v>2.6086956521739129E-2</v>
      </c>
      <c r="AV122" s="195" t="str">
        <f t="shared" si="18"/>
        <v/>
      </c>
      <c r="AW122" s="195">
        <f t="shared" si="18"/>
        <v>-5.0316957210776517E-2</v>
      </c>
      <c r="AX122" s="183">
        <f t="shared" si="8"/>
        <v>4.7537250129084607E-2</v>
      </c>
      <c r="AY122" s="183">
        <f t="shared" si="8"/>
        <v>0.24179959474924287</v>
      </c>
      <c r="AZ122" s="183">
        <f t="shared" si="9"/>
        <v>0.12456608811748998</v>
      </c>
      <c r="BG122" s="91"/>
      <c r="BQ122" s="172"/>
    </row>
    <row r="123" spans="1:77" ht="12" customHeight="1" outlineLevel="1">
      <c r="A123" s="49">
        <v>46508</v>
      </c>
      <c r="B123" s="49" t="s">
        <v>69</v>
      </c>
      <c r="C123" s="176">
        <f t="shared" si="20"/>
        <v>206880</v>
      </c>
      <c r="D123" s="177">
        <f t="shared" si="34"/>
        <v>189540</v>
      </c>
      <c r="E123" s="127">
        <f t="shared" si="35"/>
        <v>36014.625</v>
      </c>
      <c r="F123" s="127">
        <v>25890</v>
      </c>
      <c r="G123" s="127">
        <v>13580</v>
      </c>
      <c r="H123" s="127">
        <f t="shared" si="30"/>
        <v>520</v>
      </c>
      <c r="I123" s="127">
        <v>700</v>
      </c>
      <c r="J123" s="127">
        <f t="shared" si="31"/>
        <v>7420</v>
      </c>
      <c r="K123" s="127">
        <v>440</v>
      </c>
      <c r="L123" s="127">
        <f t="shared" si="31"/>
        <v>2540</v>
      </c>
      <c r="M123" s="127">
        <f t="shared" si="31"/>
        <v>390</v>
      </c>
      <c r="N123" s="127">
        <f t="shared" si="31"/>
        <v>290</v>
      </c>
      <c r="O123" s="127">
        <f t="shared" si="31"/>
        <v>1370</v>
      </c>
      <c r="P123" s="178">
        <v>34370.841359999999</v>
      </c>
      <c r="Q123" s="127">
        <v>19800</v>
      </c>
      <c r="R123" s="127">
        <f t="shared" si="32"/>
        <v>6270</v>
      </c>
      <c r="S123" s="127"/>
      <c r="T123" s="127">
        <v>0</v>
      </c>
      <c r="U123" s="178">
        <v>8260</v>
      </c>
      <c r="V123" s="127">
        <v>1500</v>
      </c>
      <c r="W123" s="89">
        <v>26990</v>
      </c>
      <c r="X123" s="127">
        <v>3000</v>
      </c>
      <c r="Y123" s="127">
        <v>195</v>
      </c>
      <c r="Z123" s="179">
        <f t="shared" si="33"/>
        <v>17340</v>
      </c>
      <c r="AA123" s="123"/>
      <c r="AB123" s="124">
        <v>227</v>
      </c>
      <c r="AC123" s="124">
        <v>7</v>
      </c>
      <c r="AD123" s="180">
        <v>1.5</v>
      </c>
      <c r="AE123" s="181">
        <v>17</v>
      </c>
      <c r="AF123" s="182">
        <f t="shared" si="28"/>
        <v>541</v>
      </c>
      <c r="AG123" s="182">
        <v>17</v>
      </c>
      <c r="AH123" s="123"/>
      <c r="AI123" s="124">
        <v>151.413398061674</v>
      </c>
      <c r="AJ123" s="92">
        <f t="shared" si="14"/>
        <v>1180</v>
      </c>
      <c r="AK123" s="124">
        <v>130</v>
      </c>
      <c r="AL123" s="124">
        <v>1020</v>
      </c>
      <c r="AM123" s="124"/>
      <c r="AN123" s="124">
        <f t="shared" si="15"/>
        <v>146714.625</v>
      </c>
      <c r="AO123" s="124">
        <f t="shared" si="16"/>
        <v>60165.841359999999</v>
      </c>
      <c r="AP123" s="166"/>
      <c r="AQ123" s="175"/>
      <c r="AR123" s="145"/>
      <c r="AS123" s="145"/>
      <c r="AT123" s="195">
        <f t="shared" si="18"/>
        <v>2.8977889656517743E-2</v>
      </c>
      <c r="AU123" s="195">
        <f t="shared" si="18"/>
        <v>2.6086956521739129E-2</v>
      </c>
      <c r="AV123" s="195" t="str">
        <f t="shared" si="18"/>
        <v/>
      </c>
      <c r="AW123" s="195">
        <f t="shared" si="18"/>
        <v>-0.12548713951675752</v>
      </c>
      <c r="AX123" s="183">
        <f t="shared" si="8"/>
        <v>7.3416922739244952E-2</v>
      </c>
      <c r="AY123" s="183">
        <f t="shared" si="8"/>
        <v>0.12670114906367039</v>
      </c>
      <c r="AZ123" s="183">
        <f t="shared" si="9"/>
        <v>8.8383838383838384E-2</v>
      </c>
      <c r="BG123" s="91"/>
      <c r="BQ123" s="172"/>
    </row>
    <row r="124" spans="1:77" ht="12" customHeight="1" outlineLevel="1">
      <c r="A124" s="49">
        <v>46539</v>
      </c>
      <c r="B124" s="49" t="s">
        <v>70</v>
      </c>
      <c r="C124" s="176">
        <f t="shared" si="20"/>
        <v>189380</v>
      </c>
      <c r="D124" s="177">
        <f t="shared" si="34"/>
        <v>178160</v>
      </c>
      <c r="E124" s="127">
        <f t="shared" si="35"/>
        <v>36014.625</v>
      </c>
      <c r="F124" s="127">
        <v>25890</v>
      </c>
      <c r="G124" s="127">
        <v>13580</v>
      </c>
      <c r="H124" s="127">
        <f t="shared" si="30"/>
        <v>520</v>
      </c>
      <c r="I124" s="127">
        <v>700</v>
      </c>
      <c r="J124" s="127">
        <f t="shared" si="31"/>
        <v>7420</v>
      </c>
      <c r="K124" s="127">
        <v>440</v>
      </c>
      <c r="L124" s="127">
        <f t="shared" si="31"/>
        <v>2540</v>
      </c>
      <c r="M124" s="127">
        <f t="shared" si="31"/>
        <v>390</v>
      </c>
      <c r="N124" s="127">
        <f t="shared" si="31"/>
        <v>290</v>
      </c>
      <c r="O124" s="127">
        <f t="shared" si="31"/>
        <v>1370</v>
      </c>
      <c r="P124" s="178">
        <v>29384.184519999999</v>
      </c>
      <c r="Q124" s="127">
        <v>13410</v>
      </c>
      <c r="R124" s="127">
        <f t="shared" si="32"/>
        <v>6270</v>
      </c>
      <c r="S124" s="127"/>
      <c r="T124" s="127">
        <v>0</v>
      </c>
      <c r="U124" s="178">
        <v>8260</v>
      </c>
      <c r="V124" s="127">
        <v>1500</v>
      </c>
      <c r="W124" s="89">
        <v>26990</v>
      </c>
      <c r="X124" s="127">
        <v>3000</v>
      </c>
      <c r="Y124" s="127">
        <v>195</v>
      </c>
      <c r="Z124" s="179">
        <f t="shared" si="33"/>
        <v>11220</v>
      </c>
      <c r="AA124" s="123"/>
      <c r="AB124" s="124">
        <v>201</v>
      </c>
      <c r="AC124" s="124">
        <v>7</v>
      </c>
      <c r="AD124" s="180">
        <v>1.5</v>
      </c>
      <c r="AE124" s="181">
        <v>11</v>
      </c>
      <c r="AF124" s="182">
        <f t="shared" si="28"/>
        <v>552</v>
      </c>
      <c r="AG124" s="182">
        <v>11</v>
      </c>
      <c r="AH124" s="123"/>
      <c r="AI124" s="124">
        <v>146.1899727363184</v>
      </c>
      <c r="AJ124" s="92">
        <f t="shared" si="14"/>
        <v>1180</v>
      </c>
      <c r="AK124" s="124">
        <v>130</v>
      </c>
      <c r="AL124" s="124">
        <v>1020</v>
      </c>
      <c r="AM124" s="124"/>
      <c r="AN124" s="124">
        <f t="shared" si="15"/>
        <v>140324.625</v>
      </c>
      <c r="AO124" s="124">
        <f t="shared" si="16"/>
        <v>49059.184519999995</v>
      </c>
      <c r="AP124" s="166"/>
      <c r="AQ124" s="175"/>
      <c r="AR124" s="145"/>
      <c r="AS124" s="145"/>
      <c r="AT124" s="195">
        <f t="shared" si="18"/>
        <v>6.3594456433496774E-2</v>
      </c>
      <c r="AU124" s="195">
        <f t="shared" si="18"/>
        <v>2.6086956521739129E-2</v>
      </c>
      <c r="AV124" s="195">
        <f t="shared" si="18"/>
        <v>7.5000000000000075E-3</v>
      </c>
      <c r="AW124" s="195">
        <f t="shared" si="18"/>
        <v>-0.27762039660056659</v>
      </c>
      <c r="AX124" s="183">
        <f t="shared" si="8"/>
        <v>7.3146413276231267E-2</v>
      </c>
      <c r="AY124" s="183">
        <f t="shared" si="8"/>
        <v>0.19365412457420914</v>
      </c>
      <c r="AZ124" s="183">
        <f t="shared" si="9"/>
        <v>0.10194344233678576</v>
      </c>
      <c r="BG124" s="91"/>
      <c r="BQ124" s="172"/>
    </row>
    <row r="125" spans="1:77" ht="12" customHeight="1" outlineLevel="1">
      <c r="A125" s="49">
        <v>46569</v>
      </c>
      <c r="B125" s="49" t="s">
        <v>71</v>
      </c>
      <c r="C125" s="176">
        <f t="shared" si="20"/>
        <v>186570</v>
      </c>
      <c r="D125" s="177">
        <f t="shared" si="34"/>
        <v>182490</v>
      </c>
      <c r="E125" s="127">
        <f t="shared" si="35"/>
        <v>36014.625</v>
      </c>
      <c r="F125" s="127">
        <v>25890</v>
      </c>
      <c r="G125" s="127">
        <v>13580</v>
      </c>
      <c r="H125" s="127">
        <f t="shared" si="30"/>
        <v>520</v>
      </c>
      <c r="I125" s="127">
        <v>700</v>
      </c>
      <c r="J125" s="127">
        <f t="shared" si="31"/>
        <v>7420</v>
      </c>
      <c r="K125" s="127">
        <v>440</v>
      </c>
      <c r="L125" s="127">
        <f t="shared" si="31"/>
        <v>2540</v>
      </c>
      <c r="M125" s="127">
        <f t="shared" si="31"/>
        <v>390</v>
      </c>
      <c r="N125" s="127">
        <f t="shared" si="31"/>
        <v>290</v>
      </c>
      <c r="O125" s="127">
        <f t="shared" si="31"/>
        <v>1370</v>
      </c>
      <c r="P125" s="178">
        <v>31619.937689999992</v>
      </c>
      <c r="Q125" s="127">
        <v>15510</v>
      </c>
      <c r="R125" s="127">
        <f t="shared" si="32"/>
        <v>6270</v>
      </c>
      <c r="S125" s="127"/>
      <c r="T125" s="127">
        <v>0</v>
      </c>
      <c r="U125" s="178">
        <v>8260</v>
      </c>
      <c r="V125" s="127">
        <v>1500</v>
      </c>
      <c r="W125" s="89">
        <v>26990</v>
      </c>
      <c r="X125" s="127">
        <v>3000</v>
      </c>
      <c r="Y125" s="127">
        <v>195</v>
      </c>
      <c r="Z125" s="179">
        <f t="shared" si="33"/>
        <v>4080</v>
      </c>
      <c r="AA125" s="123"/>
      <c r="AB125" s="124">
        <v>211</v>
      </c>
      <c r="AC125" s="124">
        <v>7</v>
      </c>
      <c r="AD125" s="180">
        <v>1.5</v>
      </c>
      <c r="AE125" s="181">
        <v>4</v>
      </c>
      <c r="AF125" s="182">
        <f t="shared" si="28"/>
        <v>556</v>
      </c>
      <c r="AG125" s="182">
        <v>4</v>
      </c>
      <c r="AH125" s="123"/>
      <c r="AI125" s="124">
        <v>149.85752459715636</v>
      </c>
      <c r="AJ125" s="92">
        <f t="shared" si="14"/>
        <v>1180</v>
      </c>
      <c r="AK125" s="124">
        <v>130</v>
      </c>
      <c r="AL125" s="124">
        <v>1020</v>
      </c>
      <c r="AM125" s="124"/>
      <c r="AN125" s="124">
        <f t="shared" si="15"/>
        <v>142424.625</v>
      </c>
      <c r="AO125" s="124">
        <f t="shared" si="16"/>
        <v>44154.937689999992</v>
      </c>
      <c r="AP125" s="166"/>
      <c r="AQ125" s="175"/>
      <c r="AR125" s="145"/>
      <c r="AS125" s="145"/>
      <c r="AT125" s="195">
        <f t="shared" si="18"/>
        <v>6.3983131191396175E-2</v>
      </c>
      <c r="AU125" s="195">
        <f t="shared" si="18"/>
        <v>2.6086956521739129E-2</v>
      </c>
      <c r="AV125" s="195">
        <f t="shared" si="18"/>
        <v>2.7419354838709734E-2</v>
      </c>
      <c r="AW125" s="195">
        <f t="shared" si="18"/>
        <v>-0.48614609571788414</v>
      </c>
      <c r="AX125" s="183">
        <f t="shared" si="8"/>
        <v>3.5438931297709926E-2</v>
      </c>
      <c r="AY125" s="183">
        <f t="shared" si="8"/>
        <v>5.6590995214165864E-2</v>
      </c>
      <c r="AZ125" s="183">
        <f t="shared" si="9"/>
        <v>4.0314486450317835E-2</v>
      </c>
      <c r="BG125" s="91"/>
      <c r="BQ125" s="172"/>
    </row>
    <row r="126" spans="1:77" ht="12" customHeight="1" outlineLevel="1">
      <c r="A126" s="49">
        <v>46600</v>
      </c>
      <c r="B126" s="49" t="s">
        <v>72</v>
      </c>
      <c r="C126" s="176">
        <f t="shared" si="20"/>
        <v>196510</v>
      </c>
      <c r="D126" s="177">
        <f t="shared" si="34"/>
        <v>192430</v>
      </c>
      <c r="E126" s="127">
        <f t="shared" si="35"/>
        <v>36014.625</v>
      </c>
      <c r="F126" s="127">
        <v>25890</v>
      </c>
      <c r="G126" s="127">
        <v>13580</v>
      </c>
      <c r="H126" s="127">
        <f t="shared" si="30"/>
        <v>520</v>
      </c>
      <c r="I126" s="127">
        <v>700</v>
      </c>
      <c r="J126" s="127">
        <f t="shared" si="31"/>
        <v>7420</v>
      </c>
      <c r="K126" s="127">
        <v>440</v>
      </c>
      <c r="L126" s="127">
        <f t="shared" si="31"/>
        <v>2540</v>
      </c>
      <c r="M126" s="127">
        <f t="shared" si="31"/>
        <v>390</v>
      </c>
      <c r="N126" s="127">
        <f t="shared" si="31"/>
        <v>290</v>
      </c>
      <c r="O126" s="127">
        <f t="shared" si="31"/>
        <v>1370</v>
      </c>
      <c r="P126" s="178">
        <v>39924.163750000007</v>
      </c>
      <c r="Q126" s="127">
        <v>17140</v>
      </c>
      <c r="R126" s="127">
        <f t="shared" si="32"/>
        <v>6270</v>
      </c>
      <c r="S126" s="127"/>
      <c r="T126" s="127">
        <v>0</v>
      </c>
      <c r="U126" s="178">
        <v>8260</v>
      </c>
      <c r="V126" s="127">
        <v>1500</v>
      </c>
      <c r="W126" s="89">
        <v>26990</v>
      </c>
      <c r="X126" s="127">
        <v>3000</v>
      </c>
      <c r="Y126" s="127">
        <v>195</v>
      </c>
      <c r="Z126" s="179">
        <f t="shared" si="33"/>
        <v>4080</v>
      </c>
      <c r="AA126" s="123"/>
      <c r="AB126" s="124">
        <v>255</v>
      </c>
      <c r="AC126" s="124">
        <v>7</v>
      </c>
      <c r="AD126" s="180">
        <v>1.5</v>
      </c>
      <c r="AE126" s="181">
        <v>4</v>
      </c>
      <c r="AF126" s="182">
        <f t="shared" si="28"/>
        <v>560</v>
      </c>
      <c r="AG126" s="182">
        <v>4</v>
      </c>
      <c r="AH126" s="123"/>
      <c r="AI126" s="124">
        <v>156.56534803921571</v>
      </c>
      <c r="AJ126" s="92">
        <f t="shared" si="14"/>
        <v>1180</v>
      </c>
      <c r="AK126" s="124">
        <v>130</v>
      </c>
      <c r="AL126" s="124">
        <v>1020</v>
      </c>
      <c r="AM126" s="124"/>
      <c r="AN126" s="124">
        <f t="shared" si="15"/>
        <v>144054.625</v>
      </c>
      <c r="AO126" s="124">
        <f t="shared" si="16"/>
        <v>52459.163750000007</v>
      </c>
      <c r="AP126" s="109"/>
      <c r="AQ126" s="175"/>
      <c r="AR126" s="145"/>
      <c r="AS126" s="145"/>
      <c r="AT126" s="183">
        <f t="shared" si="18"/>
        <v>1.0000000000000035E-2</v>
      </c>
      <c r="AU126" s="183">
        <f t="shared" si="18"/>
        <v>2.6086956521739129E-2</v>
      </c>
      <c r="AV126" s="183">
        <f t="shared" si="18"/>
        <v>0</v>
      </c>
      <c r="AW126" s="183">
        <f t="shared" si="18"/>
        <v>-0.48614609571788414</v>
      </c>
      <c r="AX126" s="183">
        <f t="shared" si="8"/>
        <v>8.2210596304591269E-3</v>
      </c>
      <c r="AY126" s="183">
        <f t="shared" si="8"/>
        <v>0.20831887020615011</v>
      </c>
      <c r="AZ126" s="183">
        <f t="shared" si="9"/>
        <v>5.486070105749101E-2</v>
      </c>
      <c r="BG126" s="91"/>
      <c r="BQ126" s="172"/>
    </row>
    <row r="127" spans="1:77" ht="12" customHeight="1" outlineLevel="1">
      <c r="A127" s="49">
        <v>46631</v>
      </c>
      <c r="B127" s="49" t="s">
        <v>73</v>
      </c>
      <c r="C127" s="176">
        <f t="shared" si="20"/>
        <v>214940</v>
      </c>
      <c r="D127" s="177">
        <f t="shared" si="34"/>
        <v>210860</v>
      </c>
      <c r="E127" s="127">
        <f t="shared" si="35"/>
        <v>36014.625</v>
      </c>
      <c r="F127" s="127">
        <v>25890</v>
      </c>
      <c r="G127" s="127">
        <v>13580</v>
      </c>
      <c r="H127" s="127">
        <f t="shared" si="30"/>
        <v>520</v>
      </c>
      <c r="I127" s="127">
        <v>700</v>
      </c>
      <c r="J127" s="127">
        <f t="shared" si="31"/>
        <v>7420</v>
      </c>
      <c r="K127" s="127">
        <v>440</v>
      </c>
      <c r="L127" s="127">
        <f t="shared" si="31"/>
        <v>2540</v>
      </c>
      <c r="M127" s="127">
        <f t="shared" si="31"/>
        <v>390</v>
      </c>
      <c r="N127" s="127">
        <f t="shared" si="31"/>
        <v>290</v>
      </c>
      <c r="O127" s="127">
        <f t="shared" si="31"/>
        <v>1370</v>
      </c>
      <c r="P127" s="178">
        <v>56707.767040000006</v>
      </c>
      <c r="Q127" s="127">
        <v>18790</v>
      </c>
      <c r="R127" s="127">
        <f t="shared" si="32"/>
        <v>6270</v>
      </c>
      <c r="S127" s="127"/>
      <c r="T127" s="127">
        <v>0</v>
      </c>
      <c r="U127" s="178">
        <v>8260</v>
      </c>
      <c r="V127" s="127">
        <v>1500</v>
      </c>
      <c r="W127" s="89">
        <v>26990</v>
      </c>
      <c r="X127" s="127">
        <v>3000</v>
      </c>
      <c r="Y127" s="127">
        <v>195</v>
      </c>
      <c r="Z127" s="179">
        <f t="shared" si="33"/>
        <v>4080</v>
      </c>
      <c r="AA127" s="123"/>
      <c r="AB127" s="124">
        <v>363</v>
      </c>
      <c r="AC127" s="124">
        <v>7</v>
      </c>
      <c r="AD127" s="180">
        <v>1.5</v>
      </c>
      <c r="AE127" s="181">
        <v>4</v>
      </c>
      <c r="AF127" s="182">
        <f t="shared" si="28"/>
        <v>564</v>
      </c>
      <c r="AG127" s="182">
        <v>4</v>
      </c>
      <c r="AH127" s="123"/>
      <c r="AI127" s="124">
        <v>156.21974391184574</v>
      </c>
      <c r="AJ127" s="92">
        <f t="shared" si="14"/>
        <v>1180</v>
      </c>
      <c r="AK127" s="124">
        <v>130</v>
      </c>
      <c r="AL127" s="124">
        <v>1020</v>
      </c>
      <c r="AM127" s="124"/>
      <c r="AN127" s="124">
        <f t="shared" si="15"/>
        <v>145704.625</v>
      </c>
      <c r="AO127" s="124">
        <f t="shared" si="16"/>
        <v>69242.767040000006</v>
      </c>
      <c r="AP127" s="129"/>
      <c r="AQ127" s="175"/>
      <c r="AR127" s="145"/>
      <c r="AS127" s="145"/>
      <c r="AT127" s="183">
        <f t="shared" si="18"/>
        <v>9.9999999999999326E-3</v>
      </c>
      <c r="AU127" s="183">
        <f t="shared" si="18"/>
        <v>2.6086956521739129E-2</v>
      </c>
      <c r="AV127" s="183">
        <f t="shared" si="18"/>
        <v>0</v>
      </c>
      <c r="AW127" s="183">
        <f t="shared" si="18"/>
        <v>-0.48614609571788414</v>
      </c>
      <c r="AX127" s="183">
        <f t="shared" si="8"/>
        <v>8.2667289460936957E-3</v>
      </c>
      <c r="AY127" s="183">
        <f t="shared" si="8"/>
        <v>0.23703022849486388</v>
      </c>
      <c r="AZ127" s="183">
        <f t="shared" si="9"/>
        <v>7.21268954509178E-2</v>
      </c>
      <c r="BG127" s="91"/>
      <c r="BQ127" s="172"/>
    </row>
    <row r="128" spans="1:77" ht="12" customHeight="1" outlineLevel="1">
      <c r="A128" s="49">
        <v>46661</v>
      </c>
      <c r="B128" s="49" t="s">
        <v>74</v>
      </c>
      <c r="C128" s="176">
        <f t="shared" si="20"/>
        <v>221010</v>
      </c>
      <c r="D128" s="177">
        <f t="shared" si="34"/>
        <v>215910</v>
      </c>
      <c r="E128" s="127">
        <f t="shared" si="35"/>
        <v>36014.625</v>
      </c>
      <c r="F128" s="127">
        <v>25890</v>
      </c>
      <c r="G128" s="127">
        <v>13580</v>
      </c>
      <c r="H128" s="127">
        <f t="shared" si="30"/>
        <v>520</v>
      </c>
      <c r="I128" s="127">
        <v>700</v>
      </c>
      <c r="J128" s="127">
        <f t="shared" si="31"/>
        <v>7420</v>
      </c>
      <c r="K128" s="127">
        <v>440</v>
      </c>
      <c r="L128" s="127">
        <f t="shared" si="31"/>
        <v>2540</v>
      </c>
      <c r="M128" s="127">
        <f t="shared" si="31"/>
        <v>390</v>
      </c>
      <c r="N128" s="127">
        <f t="shared" si="31"/>
        <v>290</v>
      </c>
      <c r="O128" s="127">
        <f t="shared" si="31"/>
        <v>1370</v>
      </c>
      <c r="P128" s="178">
        <v>60385.941610000009</v>
      </c>
      <c r="Q128" s="127">
        <v>20160</v>
      </c>
      <c r="R128" s="127">
        <f t="shared" si="32"/>
        <v>6270</v>
      </c>
      <c r="S128" s="127"/>
      <c r="T128" s="127">
        <v>0</v>
      </c>
      <c r="U128" s="178">
        <v>8260</v>
      </c>
      <c r="V128" s="127">
        <v>1500</v>
      </c>
      <c r="W128" s="89">
        <v>26990</v>
      </c>
      <c r="X128" s="127">
        <v>3000</v>
      </c>
      <c r="Y128" s="127">
        <v>195</v>
      </c>
      <c r="Z128" s="179">
        <f t="shared" si="33"/>
        <v>5100</v>
      </c>
      <c r="AA128" s="123"/>
      <c r="AB128" s="124">
        <v>371</v>
      </c>
      <c r="AC128" s="124">
        <v>7</v>
      </c>
      <c r="AD128" s="180">
        <v>1.5</v>
      </c>
      <c r="AE128" s="181">
        <v>5</v>
      </c>
      <c r="AF128" s="182">
        <f t="shared" si="28"/>
        <v>569</v>
      </c>
      <c r="AG128" s="182">
        <v>5</v>
      </c>
      <c r="AH128" s="123"/>
      <c r="AI128" s="124">
        <v>162.76534126684638</v>
      </c>
      <c r="AJ128" s="92">
        <f t="shared" si="14"/>
        <v>1180</v>
      </c>
      <c r="AK128" s="124">
        <v>130</v>
      </c>
      <c r="AL128" s="124">
        <v>1020</v>
      </c>
      <c r="AM128" s="124"/>
      <c r="AN128" s="124">
        <f t="shared" si="15"/>
        <v>147074.625</v>
      </c>
      <c r="AO128" s="124">
        <f t="shared" si="16"/>
        <v>73940.941610000009</v>
      </c>
      <c r="AP128" s="109"/>
      <c r="AQ128" s="175"/>
      <c r="AR128" s="145"/>
      <c r="AS128" s="145"/>
      <c r="AT128" s="183">
        <f t="shared" si="18"/>
        <v>9.9999999999999759E-3</v>
      </c>
      <c r="AU128" s="183">
        <f t="shared" si="18"/>
        <v>2.6086956521739129E-2</v>
      </c>
      <c r="AV128" s="183">
        <f t="shared" si="18"/>
        <v>0</v>
      </c>
      <c r="AW128" s="183">
        <f t="shared" si="18"/>
        <v>-0.48614609571788414</v>
      </c>
      <c r="AX128" s="183">
        <f t="shared" si="8"/>
        <v>8.2582093645026389E-3</v>
      </c>
      <c r="AY128" s="183">
        <f t="shared" si="8"/>
        <v>0.24995252489223244</v>
      </c>
      <c r="AZ128" s="183">
        <f t="shared" si="9"/>
        <v>7.7992390986245247E-2</v>
      </c>
      <c r="BG128" s="91"/>
      <c r="BQ128" s="172"/>
    </row>
    <row r="129" spans="1:69" ht="12" customHeight="1" outlineLevel="1">
      <c r="A129" s="49">
        <v>46692</v>
      </c>
      <c r="B129" s="49" t="s">
        <v>63</v>
      </c>
      <c r="C129" s="176">
        <f t="shared" si="20"/>
        <v>221130</v>
      </c>
      <c r="D129" s="177">
        <f t="shared" si="34"/>
        <v>202770</v>
      </c>
      <c r="E129" s="127">
        <f t="shared" si="35"/>
        <v>36014.625</v>
      </c>
      <c r="F129" s="127">
        <v>25890</v>
      </c>
      <c r="G129" s="127">
        <v>13580</v>
      </c>
      <c r="H129" s="127">
        <f t="shared" si="30"/>
        <v>520</v>
      </c>
      <c r="I129" s="127">
        <v>700</v>
      </c>
      <c r="J129" s="127">
        <f t="shared" si="31"/>
        <v>7420</v>
      </c>
      <c r="K129" s="127">
        <v>440</v>
      </c>
      <c r="L129" s="127">
        <f t="shared" si="31"/>
        <v>2540</v>
      </c>
      <c r="M129" s="127">
        <f t="shared" si="31"/>
        <v>390</v>
      </c>
      <c r="N129" s="127">
        <f t="shared" si="31"/>
        <v>290</v>
      </c>
      <c r="O129" s="127">
        <f t="shared" si="31"/>
        <v>1370</v>
      </c>
      <c r="P129" s="178">
        <v>48877.479439999996</v>
      </c>
      <c r="Q129" s="127">
        <v>18530</v>
      </c>
      <c r="R129" s="127">
        <f t="shared" si="32"/>
        <v>6270</v>
      </c>
      <c r="S129" s="127"/>
      <c r="T129" s="127">
        <v>0</v>
      </c>
      <c r="U129" s="178">
        <v>8260</v>
      </c>
      <c r="V129" s="127">
        <v>1500</v>
      </c>
      <c r="W129" s="89">
        <v>26990</v>
      </c>
      <c r="X129" s="127">
        <v>3000</v>
      </c>
      <c r="Y129" s="127">
        <v>195</v>
      </c>
      <c r="Z129" s="179">
        <f t="shared" si="33"/>
        <v>18360</v>
      </c>
      <c r="AA129" s="123"/>
      <c r="AB129" s="124">
        <v>208</v>
      </c>
      <c r="AC129" s="124">
        <v>7</v>
      </c>
      <c r="AD129" s="180">
        <v>1.5</v>
      </c>
      <c r="AE129" s="181">
        <v>18</v>
      </c>
      <c r="AF129" s="182">
        <f t="shared" si="28"/>
        <v>587</v>
      </c>
      <c r="AG129" s="182">
        <v>18</v>
      </c>
      <c r="AH129" s="123"/>
      <c r="AI129" s="124">
        <v>234.98788192307691</v>
      </c>
      <c r="AJ129" s="92">
        <f t="shared" si="14"/>
        <v>1180</v>
      </c>
      <c r="AK129" s="124">
        <v>130</v>
      </c>
      <c r="AL129" s="124">
        <v>1020</v>
      </c>
      <c r="AM129" s="124"/>
      <c r="AN129" s="124">
        <f t="shared" si="15"/>
        <v>145444.625</v>
      </c>
      <c r="AO129" s="124">
        <f t="shared" si="16"/>
        <v>75692.479439999996</v>
      </c>
      <c r="AP129" s="109"/>
      <c r="AQ129" s="175"/>
      <c r="AR129" s="145"/>
      <c r="AS129" s="145"/>
      <c r="AT129" s="183">
        <f t="shared" si="18"/>
        <v>9.999999999999995E-3</v>
      </c>
      <c r="AU129" s="183">
        <f t="shared" si="18"/>
        <v>2.6086956521739129E-2</v>
      </c>
      <c r="AV129" s="183">
        <f t="shared" si="18"/>
        <v>0</v>
      </c>
      <c r="AW129" s="183">
        <f t="shared" si="18"/>
        <v>-0.48614609571788414</v>
      </c>
      <c r="AX129" s="183">
        <f t="shared" si="8"/>
        <v>8.2117357548870101E-3</v>
      </c>
      <c r="AY129" s="183">
        <f t="shared" si="8"/>
        <v>0.10274591258741252</v>
      </c>
      <c r="AZ129" s="183">
        <f t="shared" si="9"/>
        <v>3.8681039949270767E-2</v>
      </c>
      <c r="BG129" s="91"/>
      <c r="BQ129" s="172"/>
    </row>
    <row r="130" spans="1:69" ht="12" customHeight="1" outlineLevel="1">
      <c r="A130" s="52">
        <v>46722</v>
      </c>
      <c r="B130" s="52" t="s">
        <v>64</v>
      </c>
      <c r="C130" s="184">
        <f t="shared" si="20"/>
        <v>240810</v>
      </c>
      <c r="D130" s="185">
        <f t="shared" si="34"/>
        <v>185730</v>
      </c>
      <c r="E130" s="186">
        <f t="shared" si="35"/>
        <v>36014.625</v>
      </c>
      <c r="F130" s="186">
        <v>25890</v>
      </c>
      <c r="G130" s="186">
        <v>13580</v>
      </c>
      <c r="H130" s="186">
        <f t="shared" si="30"/>
        <v>520</v>
      </c>
      <c r="I130" s="186">
        <v>700</v>
      </c>
      <c r="J130" s="186">
        <f>J129</f>
        <v>7420</v>
      </c>
      <c r="K130" s="186">
        <v>440</v>
      </c>
      <c r="L130" s="186">
        <f>L129</f>
        <v>2540</v>
      </c>
      <c r="M130" s="186">
        <f>M129</f>
        <v>390</v>
      </c>
      <c r="N130" s="186">
        <f>N129</f>
        <v>290</v>
      </c>
      <c r="O130" s="186">
        <f>O129</f>
        <v>1370</v>
      </c>
      <c r="P130" s="187">
        <v>37982.046365000002</v>
      </c>
      <c r="Q130" s="186">
        <v>12380</v>
      </c>
      <c r="R130" s="186">
        <f>R129</f>
        <v>6270</v>
      </c>
      <c r="S130" s="186"/>
      <c r="T130" s="186">
        <v>0</v>
      </c>
      <c r="U130" s="187">
        <v>8260</v>
      </c>
      <c r="V130" s="186">
        <v>1500</v>
      </c>
      <c r="W130" s="135">
        <v>26990</v>
      </c>
      <c r="X130" s="186">
        <v>3000</v>
      </c>
      <c r="Y130" s="186">
        <v>195</v>
      </c>
      <c r="Z130" s="188">
        <f t="shared" si="33"/>
        <v>55080</v>
      </c>
      <c r="AA130" s="137"/>
      <c r="AB130" s="137">
        <v>219</v>
      </c>
      <c r="AC130" s="137">
        <v>7</v>
      </c>
      <c r="AD130" s="189">
        <v>1.5</v>
      </c>
      <c r="AE130" s="190">
        <v>54</v>
      </c>
      <c r="AF130" s="191">
        <f t="shared" si="28"/>
        <v>641</v>
      </c>
      <c r="AG130" s="191">
        <v>54</v>
      </c>
      <c r="AH130" s="137"/>
      <c r="AI130" s="137">
        <v>173.43400166666666</v>
      </c>
      <c r="AJ130" s="138">
        <f t="shared" si="14"/>
        <v>1180</v>
      </c>
      <c r="AK130" s="137">
        <v>130</v>
      </c>
      <c r="AL130" s="137">
        <v>1020</v>
      </c>
      <c r="AM130" s="137"/>
      <c r="AN130" s="137">
        <f t="shared" si="15"/>
        <v>139294.625</v>
      </c>
      <c r="AO130" s="137">
        <f t="shared" si="16"/>
        <v>101517.046365</v>
      </c>
      <c r="AP130" s="150"/>
      <c r="AQ130" s="192"/>
      <c r="AR130" s="141"/>
      <c r="AS130" s="141"/>
      <c r="AT130" s="193">
        <f t="shared" si="18"/>
        <v>1.0000000000000085E-2</v>
      </c>
      <c r="AU130" s="193">
        <f t="shared" si="18"/>
        <v>2.6086956521739129E-2</v>
      </c>
      <c r="AV130" s="193">
        <f t="shared" si="18"/>
        <v>0</v>
      </c>
      <c r="AW130" s="193">
        <f t="shared" si="18"/>
        <v>-0.48614609571788414</v>
      </c>
      <c r="AX130" s="193">
        <f t="shared" si="8"/>
        <v>8.1394296880654259E-3</v>
      </c>
      <c r="AY130" s="193">
        <f t="shared" si="8"/>
        <v>-0.30867890384418945</v>
      </c>
      <c r="AZ130" s="193">
        <f t="shared" si="9"/>
        <v>-0.15508227781481351</v>
      </c>
      <c r="BG130" s="91"/>
      <c r="BQ130" s="172"/>
    </row>
    <row r="131" spans="1:69" ht="12" customHeight="1" outlineLevel="1">
      <c r="A131" s="49">
        <v>46753</v>
      </c>
      <c r="B131" s="49" t="s">
        <v>65</v>
      </c>
      <c r="C131" s="176">
        <f t="shared" si="20"/>
        <v>319790</v>
      </c>
      <c r="D131" s="177">
        <f t="shared" si="34"/>
        <v>187190</v>
      </c>
      <c r="E131" s="127">
        <f t="shared" si="35"/>
        <v>36014.625</v>
      </c>
      <c r="F131" s="127">
        <v>25890</v>
      </c>
      <c r="G131" s="127">
        <v>13580</v>
      </c>
      <c r="H131" s="127">
        <v>530</v>
      </c>
      <c r="I131" s="127">
        <v>700</v>
      </c>
      <c r="J131" s="127">
        <f>J130*(1+3%)</f>
        <v>7642.6</v>
      </c>
      <c r="K131" s="127">
        <v>440</v>
      </c>
      <c r="L131" s="127">
        <f>ROUND(L130*(1+$B$169),-1)</f>
        <v>2560</v>
      </c>
      <c r="M131" s="127">
        <f>ROUND(M130*(1+$B$169),-1)</f>
        <v>390</v>
      </c>
      <c r="N131" s="127">
        <f>ROUND(N130*(1+$B$169),-1)</f>
        <v>290</v>
      </c>
      <c r="O131" s="127">
        <f>ROUND(O130*(1+$B$169),-1)</f>
        <v>1380</v>
      </c>
      <c r="P131" s="178">
        <v>35880.026264800006</v>
      </c>
      <c r="Q131" s="127">
        <v>15630</v>
      </c>
      <c r="R131" s="127">
        <f>ROUND(R130*(1+$B$169),-1)</f>
        <v>6320</v>
      </c>
      <c r="S131" s="127"/>
      <c r="T131" s="127">
        <v>0</v>
      </c>
      <c r="U131" s="178">
        <v>8260</v>
      </c>
      <c r="V131" s="127">
        <v>1500</v>
      </c>
      <c r="W131" s="89">
        <v>26990</v>
      </c>
      <c r="X131" s="127">
        <v>3000</v>
      </c>
      <c r="Y131" s="127">
        <v>195</v>
      </c>
      <c r="Z131" s="179">
        <f>AE131*AL131</f>
        <v>132600</v>
      </c>
      <c r="AA131" s="124"/>
      <c r="AB131" s="124">
        <v>214</v>
      </c>
      <c r="AC131" s="124">
        <v>7</v>
      </c>
      <c r="AD131" s="180">
        <v>1.5</v>
      </c>
      <c r="AE131" s="181">
        <v>130</v>
      </c>
      <c r="AF131" s="182">
        <f t="shared" si="28"/>
        <v>771</v>
      </c>
      <c r="AG131" s="182">
        <v>130</v>
      </c>
      <c r="AH131" s="124"/>
      <c r="AI131" s="124">
        <v>167.66367413457945</v>
      </c>
      <c r="AJ131" s="92">
        <f t="shared" si="14"/>
        <v>1180</v>
      </c>
      <c r="AK131" s="124">
        <v>130</v>
      </c>
      <c r="AL131" s="124">
        <v>1020</v>
      </c>
      <c r="AM131" s="124"/>
      <c r="AN131" s="124">
        <f t="shared" si="15"/>
        <v>142857.22500000001</v>
      </c>
      <c r="AO131" s="124">
        <f t="shared" si="16"/>
        <v>176935.02626479999</v>
      </c>
      <c r="AP131" s="109"/>
      <c r="AQ131" s="175"/>
      <c r="AR131" s="145"/>
      <c r="AS131" s="145"/>
      <c r="AT131" s="183">
        <f t="shared" ref="AT131:AW162" si="36">IFERROR((AI131-AI119)/AI119,"")</f>
        <v>1.0000000000000004E-2</v>
      </c>
      <c r="AU131" s="183">
        <f t="shared" si="36"/>
        <v>8.5470085470085479E-3</v>
      </c>
      <c r="AV131" s="183">
        <f t="shared" si="36"/>
        <v>0</v>
      </c>
      <c r="AW131" s="183">
        <f t="shared" si="36"/>
        <v>9.9009900990099011E-3</v>
      </c>
      <c r="AX131" s="194">
        <f t="shared" si="8"/>
        <v>1.0019973133484204E-2</v>
      </c>
      <c r="AY131" s="194">
        <f t="shared" si="8"/>
        <v>9.8467551284354745E-3</v>
      </c>
      <c r="AZ131" s="194">
        <f t="shared" si="9"/>
        <v>9.9482061647296616E-3</v>
      </c>
      <c r="BG131" s="91"/>
      <c r="BQ131" s="172"/>
    </row>
    <row r="132" spans="1:69" ht="12" customHeight="1" outlineLevel="1">
      <c r="A132" s="49">
        <v>46784</v>
      </c>
      <c r="B132" s="49" t="s">
        <v>66</v>
      </c>
      <c r="C132" s="176">
        <f t="shared" si="20"/>
        <v>326290</v>
      </c>
      <c r="D132" s="177">
        <f>ROUNDDOWN(SUM(E132:Y132),-1)</f>
        <v>192390</v>
      </c>
      <c r="E132" s="127">
        <f>E131*(1+$B$167)</f>
        <v>36464.807812499996</v>
      </c>
      <c r="F132" s="127">
        <v>26210</v>
      </c>
      <c r="G132" s="127">
        <v>13750</v>
      </c>
      <c r="H132" s="127">
        <f>H131</f>
        <v>530</v>
      </c>
      <c r="I132" s="127">
        <v>710</v>
      </c>
      <c r="J132" s="127">
        <f>J131</f>
        <v>7642.6</v>
      </c>
      <c r="K132" s="127">
        <v>450</v>
      </c>
      <c r="L132" s="127">
        <f>L131</f>
        <v>2560</v>
      </c>
      <c r="M132" s="127">
        <f>M131</f>
        <v>390</v>
      </c>
      <c r="N132" s="127">
        <f>N131</f>
        <v>290</v>
      </c>
      <c r="O132" s="127">
        <f>O131</f>
        <v>1380</v>
      </c>
      <c r="P132" s="178">
        <v>37528.048332318591</v>
      </c>
      <c r="Q132" s="127">
        <v>18150</v>
      </c>
      <c r="R132" s="127">
        <f>R131</f>
        <v>6320</v>
      </c>
      <c r="S132" s="127"/>
      <c r="T132" s="127">
        <v>0</v>
      </c>
      <c r="U132" s="178">
        <v>8330</v>
      </c>
      <c r="V132" s="127">
        <v>1500</v>
      </c>
      <c r="W132" s="89">
        <v>26990</v>
      </c>
      <c r="X132" s="127">
        <v>3000</v>
      </c>
      <c r="Y132" s="127">
        <v>195</v>
      </c>
      <c r="Z132" s="179">
        <f>AE132*AL132</f>
        <v>133900</v>
      </c>
      <c r="AA132" s="123"/>
      <c r="AB132" s="124">
        <v>240</v>
      </c>
      <c r="AC132" s="124">
        <v>7</v>
      </c>
      <c r="AD132" s="180">
        <v>1.5</v>
      </c>
      <c r="AE132" s="181">
        <v>130</v>
      </c>
      <c r="AF132" s="182">
        <f t="shared" si="28"/>
        <v>901</v>
      </c>
      <c r="AG132" s="182">
        <v>130</v>
      </c>
      <c r="AH132" s="123"/>
      <c r="AI132" s="124">
        <v>156.36686805132746</v>
      </c>
      <c r="AJ132" s="92">
        <f t="shared" si="14"/>
        <v>1190</v>
      </c>
      <c r="AK132" s="124">
        <v>130</v>
      </c>
      <c r="AL132" s="124">
        <v>1030</v>
      </c>
      <c r="AM132" s="124"/>
      <c r="AN132" s="124">
        <f t="shared" si="15"/>
        <v>146337.40781249999</v>
      </c>
      <c r="AO132" s="124">
        <f t="shared" si="16"/>
        <v>179953.04833231861</v>
      </c>
      <c r="AP132" s="63"/>
      <c r="AQ132" s="175"/>
      <c r="AR132" s="120"/>
      <c r="AS132" s="120"/>
      <c r="AT132" s="195">
        <f t="shared" si="36"/>
        <v>1.0000000000000054E-2</v>
      </c>
      <c r="AU132" s="195">
        <f t="shared" si="36"/>
        <v>8.4745762711864406E-3</v>
      </c>
      <c r="AV132" s="195">
        <f t="shared" si="36"/>
        <v>0</v>
      </c>
      <c r="AW132" s="195">
        <f t="shared" si="36"/>
        <v>9.8039215686274508E-3</v>
      </c>
      <c r="AX132" s="183">
        <f t="shared" si="8"/>
        <v>1.0027170326043873E-2</v>
      </c>
      <c r="AY132" s="183">
        <f t="shared" si="8"/>
        <v>9.7724613520734673E-3</v>
      </c>
      <c r="AZ132" s="183">
        <f t="shared" si="9"/>
        <v>9.9043610139589594E-3</v>
      </c>
      <c r="BG132" s="91"/>
      <c r="BQ132" s="172"/>
    </row>
    <row r="133" spans="1:69" ht="12" customHeight="1" outlineLevel="1">
      <c r="A133" s="49">
        <v>46813</v>
      </c>
      <c r="B133" s="49" t="s">
        <v>67</v>
      </c>
      <c r="C133" s="176">
        <f t="shared" si="20"/>
        <v>305530</v>
      </c>
      <c r="D133" s="177">
        <f t="shared" si="34"/>
        <v>194290</v>
      </c>
      <c r="E133" s="127">
        <f>E132</f>
        <v>36464.807812499996</v>
      </c>
      <c r="F133" s="127">
        <v>26210</v>
      </c>
      <c r="G133" s="127">
        <v>13750</v>
      </c>
      <c r="H133" s="127">
        <f t="shared" ref="H133:H142" si="37">H132</f>
        <v>530</v>
      </c>
      <c r="I133" s="127">
        <v>710</v>
      </c>
      <c r="J133" s="127">
        <f t="shared" ref="J133:J141" si="38">J132</f>
        <v>7642.6</v>
      </c>
      <c r="K133" s="127">
        <v>450</v>
      </c>
      <c r="L133" s="127">
        <f t="shared" ref="L133:O141" si="39">L132</f>
        <v>2560</v>
      </c>
      <c r="M133" s="127">
        <f t="shared" si="39"/>
        <v>390</v>
      </c>
      <c r="N133" s="127">
        <f t="shared" si="39"/>
        <v>290</v>
      </c>
      <c r="O133" s="127">
        <f t="shared" si="39"/>
        <v>1380</v>
      </c>
      <c r="P133" s="178">
        <v>39116.304735900012</v>
      </c>
      <c r="Q133" s="127">
        <v>18470</v>
      </c>
      <c r="R133" s="127">
        <f t="shared" ref="R133:R141" si="40">R132</f>
        <v>6320</v>
      </c>
      <c r="S133" s="127"/>
      <c r="T133" s="127">
        <v>0</v>
      </c>
      <c r="U133" s="178">
        <v>8330</v>
      </c>
      <c r="V133" s="127">
        <v>1500</v>
      </c>
      <c r="W133" s="89">
        <v>26990</v>
      </c>
      <c r="X133" s="127">
        <v>3000</v>
      </c>
      <c r="Y133" s="127">
        <v>195</v>
      </c>
      <c r="Z133" s="179">
        <f t="shared" ref="Z133:Z142" si="41">AE133*AL133</f>
        <v>111240</v>
      </c>
      <c r="AA133" s="123"/>
      <c r="AB133" s="124">
        <v>250</v>
      </c>
      <c r="AC133" s="124">
        <v>7</v>
      </c>
      <c r="AD133" s="180">
        <v>1.5</v>
      </c>
      <c r="AE133" s="181">
        <v>108</v>
      </c>
      <c r="AF133" s="182">
        <f t="shared" si="28"/>
        <v>1009</v>
      </c>
      <c r="AG133" s="182">
        <v>108</v>
      </c>
      <c r="AH133" s="123"/>
      <c r="AI133" s="124">
        <v>156.46521894360004</v>
      </c>
      <c r="AJ133" s="92">
        <f t="shared" si="14"/>
        <v>1190</v>
      </c>
      <c r="AK133" s="124">
        <v>130</v>
      </c>
      <c r="AL133" s="124">
        <v>1030</v>
      </c>
      <c r="AM133" s="124"/>
      <c r="AN133" s="124">
        <f t="shared" si="15"/>
        <v>146657.40781249999</v>
      </c>
      <c r="AO133" s="124">
        <f t="shared" si="16"/>
        <v>158881.30473590002</v>
      </c>
      <c r="AP133" s="148"/>
      <c r="AQ133" s="175"/>
      <c r="AR133" s="145"/>
      <c r="AS133" s="145"/>
      <c r="AT133" s="195">
        <f t="shared" si="36"/>
        <v>1.0000000000000085E-2</v>
      </c>
      <c r="AU133" s="195">
        <f t="shared" si="36"/>
        <v>8.4745762711864406E-3</v>
      </c>
      <c r="AV133" s="195">
        <f t="shared" si="36"/>
        <v>0</v>
      </c>
      <c r="AW133" s="195">
        <f t="shared" si="36"/>
        <v>9.8039215686274508E-3</v>
      </c>
      <c r="AX133" s="183">
        <f t="shared" si="8"/>
        <v>1.0005072582915277E-2</v>
      </c>
      <c r="AY133" s="183">
        <f t="shared" si="8"/>
        <v>9.7702486485158977E-3</v>
      </c>
      <c r="AZ133" s="183">
        <f t="shared" si="9"/>
        <v>9.8829906789184904E-3</v>
      </c>
      <c r="BG133" s="91"/>
      <c r="BQ133" s="172"/>
    </row>
    <row r="134" spans="1:69" ht="12" customHeight="1" outlineLevel="1">
      <c r="A134" s="49">
        <v>46844</v>
      </c>
      <c r="B134" s="49" t="s">
        <v>68</v>
      </c>
      <c r="C134" s="176">
        <f t="shared" si="20"/>
        <v>255190</v>
      </c>
      <c r="D134" s="177">
        <f t="shared" si="34"/>
        <v>187210</v>
      </c>
      <c r="E134" s="127">
        <f t="shared" ref="E134:E143" si="42">E133</f>
        <v>36464.807812499996</v>
      </c>
      <c r="F134" s="127">
        <v>26210</v>
      </c>
      <c r="G134" s="127">
        <v>13750</v>
      </c>
      <c r="H134" s="127">
        <f t="shared" si="37"/>
        <v>530</v>
      </c>
      <c r="I134" s="127">
        <v>710</v>
      </c>
      <c r="J134" s="127">
        <f t="shared" si="38"/>
        <v>7642.6</v>
      </c>
      <c r="K134" s="127">
        <v>450</v>
      </c>
      <c r="L134" s="127">
        <f t="shared" si="39"/>
        <v>2560</v>
      </c>
      <c r="M134" s="127">
        <f t="shared" si="39"/>
        <v>390</v>
      </c>
      <c r="N134" s="127">
        <f t="shared" si="39"/>
        <v>290</v>
      </c>
      <c r="O134" s="127">
        <f t="shared" si="39"/>
        <v>1380</v>
      </c>
      <c r="P134" s="178">
        <v>35255.663858800006</v>
      </c>
      <c r="Q134" s="127">
        <v>15250</v>
      </c>
      <c r="R134" s="127">
        <f t="shared" si="40"/>
        <v>6320</v>
      </c>
      <c r="S134" s="127"/>
      <c r="T134" s="127">
        <v>0</v>
      </c>
      <c r="U134" s="178">
        <v>8330</v>
      </c>
      <c r="V134" s="127">
        <v>1500</v>
      </c>
      <c r="W134" s="89">
        <v>26990</v>
      </c>
      <c r="X134" s="127">
        <v>3000</v>
      </c>
      <c r="Y134" s="127">
        <v>195</v>
      </c>
      <c r="Z134" s="179">
        <f t="shared" si="41"/>
        <v>67980</v>
      </c>
      <c r="AA134" s="123"/>
      <c r="AB134" s="124">
        <v>207</v>
      </c>
      <c r="AC134" s="124">
        <v>7</v>
      </c>
      <c r="AD134" s="180">
        <v>1.5</v>
      </c>
      <c r="AE134" s="181">
        <v>66</v>
      </c>
      <c r="AF134" s="182">
        <f t="shared" si="28"/>
        <v>1075</v>
      </c>
      <c r="AG134" s="182">
        <v>66</v>
      </c>
      <c r="AH134" s="123"/>
      <c r="AI134" s="124">
        <v>170.31721670917878</v>
      </c>
      <c r="AJ134" s="92">
        <f t="shared" si="14"/>
        <v>1190</v>
      </c>
      <c r="AK134" s="124">
        <v>130</v>
      </c>
      <c r="AL134" s="124">
        <v>1030</v>
      </c>
      <c r="AM134" s="124"/>
      <c r="AN134" s="124">
        <f t="shared" si="15"/>
        <v>143437.40781249999</v>
      </c>
      <c r="AO134" s="124">
        <f t="shared" si="16"/>
        <v>111760.66385880001</v>
      </c>
      <c r="AP134" s="148"/>
      <c r="AQ134" s="175"/>
      <c r="AR134" s="145"/>
      <c r="AS134" s="145"/>
      <c r="AT134" s="195">
        <f t="shared" si="36"/>
        <v>1.0000000000000061E-2</v>
      </c>
      <c r="AU134" s="195">
        <f t="shared" si="36"/>
        <v>8.4745762711864406E-3</v>
      </c>
      <c r="AV134" s="195">
        <f t="shared" si="36"/>
        <v>0</v>
      </c>
      <c r="AW134" s="195">
        <f t="shared" si="36"/>
        <v>9.8039215686274508E-3</v>
      </c>
      <c r="AX134" s="183">
        <f t="shared" si="8"/>
        <v>1.0018565429440764E-2</v>
      </c>
      <c r="AY134" s="183">
        <f t="shared" si="8"/>
        <v>9.7492808151351754E-3</v>
      </c>
      <c r="AZ134" s="183">
        <f t="shared" si="9"/>
        <v>9.8935454509478018E-3</v>
      </c>
      <c r="BG134" s="91"/>
      <c r="BQ134" s="172"/>
    </row>
    <row r="135" spans="1:69" ht="12" customHeight="1" outlineLevel="1">
      <c r="A135" s="49">
        <v>46874</v>
      </c>
      <c r="B135" s="49" t="s">
        <v>69</v>
      </c>
      <c r="C135" s="176">
        <f t="shared" si="20"/>
        <v>208930</v>
      </c>
      <c r="D135" s="177">
        <f t="shared" si="34"/>
        <v>191420</v>
      </c>
      <c r="E135" s="127">
        <f t="shared" si="42"/>
        <v>36464.807812499996</v>
      </c>
      <c r="F135" s="127">
        <v>26210</v>
      </c>
      <c r="G135" s="127">
        <v>13750</v>
      </c>
      <c r="H135" s="127">
        <f t="shared" si="37"/>
        <v>530</v>
      </c>
      <c r="I135" s="127">
        <v>710</v>
      </c>
      <c r="J135" s="127">
        <f t="shared" si="38"/>
        <v>7642.6</v>
      </c>
      <c r="K135" s="127">
        <v>450</v>
      </c>
      <c r="L135" s="127">
        <f t="shared" si="39"/>
        <v>2560</v>
      </c>
      <c r="M135" s="127">
        <f t="shared" si="39"/>
        <v>390</v>
      </c>
      <c r="N135" s="127">
        <f t="shared" si="39"/>
        <v>290</v>
      </c>
      <c r="O135" s="127">
        <f t="shared" si="39"/>
        <v>1380</v>
      </c>
      <c r="P135" s="178">
        <v>34714.549773600003</v>
      </c>
      <c r="Q135" s="127">
        <v>20000</v>
      </c>
      <c r="R135" s="127">
        <f t="shared" si="40"/>
        <v>6320</v>
      </c>
      <c r="S135" s="127"/>
      <c r="T135" s="127">
        <v>0</v>
      </c>
      <c r="U135" s="178">
        <v>8330</v>
      </c>
      <c r="V135" s="127">
        <v>1500</v>
      </c>
      <c r="W135" s="89">
        <v>26990</v>
      </c>
      <c r="X135" s="127">
        <v>3000</v>
      </c>
      <c r="Y135" s="127">
        <v>195</v>
      </c>
      <c r="Z135" s="179">
        <f t="shared" si="41"/>
        <v>17510</v>
      </c>
      <c r="AA135" s="123"/>
      <c r="AB135" s="124">
        <v>227</v>
      </c>
      <c r="AC135" s="124">
        <v>7</v>
      </c>
      <c r="AD135" s="180">
        <v>1.5</v>
      </c>
      <c r="AE135" s="181">
        <v>17</v>
      </c>
      <c r="AF135" s="182">
        <f t="shared" si="28"/>
        <v>1092</v>
      </c>
      <c r="AG135" s="182">
        <v>17</v>
      </c>
      <c r="AH135" s="123"/>
      <c r="AI135" s="124">
        <v>152.92753204229075</v>
      </c>
      <c r="AJ135" s="92">
        <f t="shared" si="14"/>
        <v>1190</v>
      </c>
      <c r="AK135" s="124">
        <v>130</v>
      </c>
      <c r="AL135" s="124">
        <v>1030</v>
      </c>
      <c r="AM135" s="124"/>
      <c r="AN135" s="124">
        <f t="shared" si="15"/>
        <v>148187.40781249999</v>
      </c>
      <c r="AO135" s="124">
        <f t="shared" si="16"/>
        <v>60749.549773600003</v>
      </c>
      <c r="AP135" s="166"/>
      <c r="AQ135" s="175"/>
      <c r="AR135" s="145"/>
      <c r="AS135" s="145"/>
      <c r="AT135" s="195">
        <f t="shared" si="36"/>
        <v>1.0000000000000052E-2</v>
      </c>
      <c r="AU135" s="195">
        <f t="shared" si="36"/>
        <v>8.4745762711864406E-3</v>
      </c>
      <c r="AV135" s="195">
        <f t="shared" si="36"/>
        <v>0</v>
      </c>
      <c r="AW135" s="195">
        <f t="shared" si="36"/>
        <v>9.8039215686274508E-3</v>
      </c>
      <c r="AX135" s="183">
        <f t="shared" si="8"/>
        <v>1.0038418545526694E-2</v>
      </c>
      <c r="AY135" s="183">
        <f t="shared" si="8"/>
        <v>9.7016579575013012E-3</v>
      </c>
      <c r="AZ135" s="183">
        <f t="shared" si="9"/>
        <v>9.9091260634184067E-3</v>
      </c>
      <c r="BG135" s="91"/>
      <c r="BQ135" s="172"/>
    </row>
    <row r="136" spans="1:69" ht="12" customHeight="1" outlineLevel="1">
      <c r="A136" s="49">
        <v>46905</v>
      </c>
      <c r="B136" s="49" t="s">
        <v>70</v>
      </c>
      <c r="C136" s="176">
        <f t="shared" si="20"/>
        <v>191260</v>
      </c>
      <c r="D136" s="177">
        <f t="shared" si="34"/>
        <v>179930</v>
      </c>
      <c r="E136" s="127">
        <f t="shared" si="42"/>
        <v>36464.807812499996</v>
      </c>
      <c r="F136" s="127">
        <v>26210</v>
      </c>
      <c r="G136" s="127">
        <v>13750</v>
      </c>
      <c r="H136" s="127">
        <f t="shared" si="37"/>
        <v>530</v>
      </c>
      <c r="I136" s="127">
        <v>710</v>
      </c>
      <c r="J136" s="127">
        <f t="shared" si="38"/>
        <v>7642.6</v>
      </c>
      <c r="K136" s="127">
        <v>450</v>
      </c>
      <c r="L136" s="127">
        <f t="shared" si="39"/>
        <v>2560</v>
      </c>
      <c r="M136" s="127">
        <f t="shared" si="39"/>
        <v>390</v>
      </c>
      <c r="N136" s="127">
        <f t="shared" si="39"/>
        <v>290</v>
      </c>
      <c r="O136" s="127">
        <f t="shared" si="39"/>
        <v>1380</v>
      </c>
      <c r="P136" s="178">
        <v>29678.026365199996</v>
      </c>
      <c r="Q136" s="127">
        <v>13540</v>
      </c>
      <c r="R136" s="127">
        <f t="shared" si="40"/>
        <v>6320</v>
      </c>
      <c r="S136" s="127"/>
      <c r="T136" s="127">
        <v>0</v>
      </c>
      <c r="U136" s="178">
        <v>8330</v>
      </c>
      <c r="V136" s="127">
        <v>1500</v>
      </c>
      <c r="W136" s="89">
        <v>26990</v>
      </c>
      <c r="X136" s="127">
        <v>3000</v>
      </c>
      <c r="Y136" s="127">
        <v>195</v>
      </c>
      <c r="Z136" s="179">
        <f t="shared" si="41"/>
        <v>11330</v>
      </c>
      <c r="AA136" s="123"/>
      <c r="AB136" s="124">
        <v>201</v>
      </c>
      <c r="AC136" s="124">
        <v>7</v>
      </c>
      <c r="AD136" s="180">
        <v>1.5</v>
      </c>
      <c r="AE136" s="181">
        <v>11</v>
      </c>
      <c r="AF136" s="182">
        <f t="shared" si="28"/>
        <v>1103</v>
      </c>
      <c r="AG136" s="182">
        <v>11</v>
      </c>
      <c r="AH136" s="123"/>
      <c r="AI136" s="124">
        <v>147.65187246368157</v>
      </c>
      <c r="AJ136" s="92">
        <f t="shared" si="14"/>
        <v>1190</v>
      </c>
      <c r="AK136" s="124">
        <v>130</v>
      </c>
      <c r="AL136" s="124">
        <v>1030</v>
      </c>
      <c r="AM136" s="124"/>
      <c r="AN136" s="124">
        <f t="shared" si="15"/>
        <v>141727.40781249999</v>
      </c>
      <c r="AO136" s="124">
        <f t="shared" si="16"/>
        <v>49533.026365199999</v>
      </c>
      <c r="AP136" s="166"/>
      <c r="AQ136" s="175"/>
      <c r="AR136" s="145"/>
      <c r="AS136" s="145"/>
      <c r="AT136" s="195">
        <f t="shared" si="36"/>
        <v>9.9999999999999378E-3</v>
      </c>
      <c r="AU136" s="195">
        <f t="shared" si="36"/>
        <v>8.4745762711864406E-3</v>
      </c>
      <c r="AV136" s="195">
        <f t="shared" si="36"/>
        <v>0</v>
      </c>
      <c r="AW136" s="195">
        <f t="shared" si="36"/>
        <v>9.8039215686274508E-3</v>
      </c>
      <c r="AX136" s="183">
        <f t="shared" si="8"/>
        <v>9.9966973900695918E-3</v>
      </c>
      <c r="AY136" s="183">
        <f t="shared" si="8"/>
        <v>9.6585756537969497E-3</v>
      </c>
      <c r="AZ136" s="183">
        <f t="shared" si="9"/>
        <v>9.9271306368148692E-3</v>
      </c>
      <c r="BG136" s="91"/>
      <c r="BQ136" s="172"/>
    </row>
    <row r="137" spans="1:69" ht="12" customHeight="1" outlineLevel="1">
      <c r="A137" s="49">
        <v>46935</v>
      </c>
      <c r="B137" s="49" t="s">
        <v>71</v>
      </c>
      <c r="C137" s="176">
        <f t="shared" si="20"/>
        <v>188430</v>
      </c>
      <c r="D137" s="177">
        <f t="shared" si="34"/>
        <v>184310</v>
      </c>
      <c r="E137" s="127">
        <f t="shared" si="42"/>
        <v>36464.807812499996</v>
      </c>
      <c r="F137" s="127">
        <v>26210</v>
      </c>
      <c r="G137" s="127">
        <v>13750</v>
      </c>
      <c r="H137" s="127">
        <f t="shared" si="37"/>
        <v>530</v>
      </c>
      <c r="I137" s="127">
        <v>710</v>
      </c>
      <c r="J137" s="127">
        <f t="shared" si="38"/>
        <v>7642.6</v>
      </c>
      <c r="K137" s="127">
        <v>450</v>
      </c>
      <c r="L137" s="127">
        <f t="shared" si="39"/>
        <v>2560</v>
      </c>
      <c r="M137" s="127">
        <f t="shared" si="39"/>
        <v>390</v>
      </c>
      <c r="N137" s="127">
        <f t="shared" si="39"/>
        <v>290</v>
      </c>
      <c r="O137" s="127">
        <f t="shared" si="39"/>
        <v>1380</v>
      </c>
      <c r="P137" s="178">
        <v>31936.137066899988</v>
      </c>
      <c r="Q137" s="127">
        <v>15670</v>
      </c>
      <c r="R137" s="127">
        <f t="shared" si="40"/>
        <v>6320</v>
      </c>
      <c r="S137" s="127"/>
      <c r="T137" s="127">
        <v>0</v>
      </c>
      <c r="U137" s="178">
        <v>8330</v>
      </c>
      <c r="V137" s="127">
        <v>1500</v>
      </c>
      <c r="W137" s="89">
        <v>26990</v>
      </c>
      <c r="X137" s="127">
        <v>3000</v>
      </c>
      <c r="Y137" s="127">
        <v>195</v>
      </c>
      <c r="Z137" s="179">
        <f t="shared" si="41"/>
        <v>4120</v>
      </c>
      <c r="AA137" s="123"/>
      <c r="AB137" s="124">
        <v>211</v>
      </c>
      <c r="AC137" s="124">
        <v>7</v>
      </c>
      <c r="AD137" s="180">
        <v>1.5</v>
      </c>
      <c r="AE137" s="181">
        <v>4</v>
      </c>
      <c r="AF137" s="182">
        <f t="shared" si="28"/>
        <v>1107</v>
      </c>
      <c r="AG137" s="182">
        <v>4</v>
      </c>
      <c r="AH137" s="123"/>
      <c r="AI137" s="124">
        <v>151.35609984312791</v>
      </c>
      <c r="AJ137" s="92">
        <f t="shared" si="14"/>
        <v>1190</v>
      </c>
      <c r="AK137" s="124">
        <v>130</v>
      </c>
      <c r="AL137" s="124">
        <v>1030</v>
      </c>
      <c r="AM137" s="124"/>
      <c r="AN137" s="124">
        <f t="shared" si="15"/>
        <v>143857.40781249999</v>
      </c>
      <c r="AO137" s="124">
        <f t="shared" si="16"/>
        <v>44581.137066899988</v>
      </c>
      <c r="AP137" s="166"/>
      <c r="AQ137" s="175"/>
      <c r="AR137" s="145"/>
      <c r="AS137" s="145"/>
      <c r="AT137" s="195">
        <f t="shared" si="36"/>
        <v>9.9999999999999187E-3</v>
      </c>
      <c r="AU137" s="195">
        <f t="shared" si="36"/>
        <v>8.4745762711864406E-3</v>
      </c>
      <c r="AV137" s="195">
        <f t="shared" si="36"/>
        <v>0</v>
      </c>
      <c r="AW137" s="195">
        <f t="shared" si="36"/>
        <v>9.8039215686274508E-3</v>
      </c>
      <c r="AX137" s="183">
        <f t="shared" si="8"/>
        <v>1.0059937405487248E-2</v>
      </c>
      <c r="AY137" s="183">
        <f t="shared" si="8"/>
        <v>9.6523605104423035E-3</v>
      </c>
      <c r="AZ137" s="183">
        <f t="shared" si="9"/>
        <v>9.9694484643833414E-3</v>
      </c>
      <c r="BG137" s="91"/>
      <c r="BQ137" s="172"/>
    </row>
    <row r="138" spans="1:69" ht="12" customHeight="1" outlineLevel="1">
      <c r="A138" s="49">
        <v>46966</v>
      </c>
      <c r="B138" s="49" t="s">
        <v>72</v>
      </c>
      <c r="C138" s="176">
        <f t="shared" si="20"/>
        <v>198460</v>
      </c>
      <c r="D138" s="177">
        <f t="shared" si="34"/>
        <v>194340</v>
      </c>
      <c r="E138" s="127">
        <f t="shared" si="42"/>
        <v>36464.807812499996</v>
      </c>
      <c r="F138" s="127">
        <v>26210</v>
      </c>
      <c r="G138" s="127">
        <v>13750</v>
      </c>
      <c r="H138" s="127">
        <f t="shared" si="37"/>
        <v>530</v>
      </c>
      <c r="I138" s="127">
        <v>710</v>
      </c>
      <c r="J138" s="127">
        <f t="shared" si="38"/>
        <v>7642.6</v>
      </c>
      <c r="K138" s="127">
        <v>450</v>
      </c>
      <c r="L138" s="127">
        <f t="shared" si="39"/>
        <v>2560</v>
      </c>
      <c r="M138" s="127">
        <f t="shared" si="39"/>
        <v>390</v>
      </c>
      <c r="N138" s="127">
        <f t="shared" si="39"/>
        <v>290</v>
      </c>
      <c r="O138" s="127">
        <f t="shared" si="39"/>
        <v>1380</v>
      </c>
      <c r="P138" s="178">
        <v>40323.40538750001</v>
      </c>
      <c r="Q138" s="127">
        <v>17310</v>
      </c>
      <c r="R138" s="127">
        <f t="shared" si="40"/>
        <v>6320</v>
      </c>
      <c r="S138" s="127"/>
      <c r="T138" s="127">
        <v>0</v>
      </c>
      <c r="U138" s="178">
        <v>8330</v>
      </c>
      <c r="V138" s="127">
        <v>1500</v>
      </c>
      <c r="W138" s="89">
        <v>26990</v>
      </c>
      <c r="X138" s="127">
        <v>3000</v>
      </c>
      <c r="Y138" s="127">
        <v>195</v>
      </c>
      <c r="Z138" s="179">
        <f t="shared" si="41"/>
        <v>4120</v>
      </c>
      <c r="AA138" s="123"/>
      <c r="AB138" s="124">
        <v>255</v>
      </c>
      <c r="AC138" s="124">
        <v>7</v>
      </c>
      <c r="AD138" s="180">
        <v>1.5</v>
      </c>
      <c r="AE138" s="181">
        <v>4</v>
      </c>
      <c r="AF138" s="182">
        <f t="shared" si="28"/>
        <v>1111</v>
      </c>
      <c r="AG138" s="182">
        <v>4</v>
      </c>
      <c r="AH138" s="123"/>
      <c r="AI138" s="124">
        <v>158.13100151960788</v>
      </c>
      <c r="AJ138" s="92">
        <f t="shared" si="14"/>
        <v>1190</v>
      </c>
      <c r="AK138" s="124">
        <v>130</v>
      </c>
      <c r="AL138" s="124">
        <v>1030</v>
      </c>
      <c r="AM138" s="124"/>
      <c r="AN138" s="124">
        <f t="shared" si="15"/>
        <v>145497.40781249999</v>
      </c>
      <c r="AO138" s="124">
        <f t="shared" si="16"/>
        <v>52968.40538750001</v>
      </c>
      <c r="AP138" s="109"/>
      <c r="AQ138" s="175"/>
      <c r="AR138" s="145"/>
      <c r="AS138" s="145"/>
      <c r="AT138" s="183">
        <f t="shared" si="36"/>
        <v>1.0000000000000092E-2</v>
      </c>
      <c r="AU138" s="183">
        <f t="shared" si="36"/>
        <v>8.4745762711864406E-3</v>
      </c>
      <c r="AV138" s="183">
        <f t="shared" si="36"/>
        <v>0</v>
      </c>
      <c r="AW138" s="183">
        <f t="shared" si="36"/>
        <v>9.8039215686274508E-3</v>
      </c>
      <c r="AX138" s="183">
        <f t="shared" si="8"/>
        <v>1.0015525794468551E-2</v>
      </c>
      <c r="AY138" s="183">
        <f t="shared" si="8"/>
        <v>9.7073914469329083E-3</v>
      </c>
      <c r="AZ138" s="183">
        <f t="shared" si="9"/>
        <v>9.9231591267619976E-3</v>
      </c>
      <c r="BG138" s="91"/>
      <c r="BQ138" s="172"/>
    </row>
    <row r="139" spans="1:69" ht="12" customHeight="1" outlineLevel="1">
      <c r="A139" s="49">
        <v>46997</v>
      </c>
      <c r="B139" s="49" t="s">
        <v>73</v>
      </c>
      <c r="C139" s="176">
        <f t="shared" si="20"/>
        <v>217080</v>
      </c>
      <c r="D139" s="177">
        <f t="shared" si="34"/>
        <v>212960</v>
      </c>
      <c r="E139" s="127">
        <f t="shared" si="42"/>
        <v>36464.807812499996</v>
      </c>
      <c r="F139" s="127">
        <v>26210</v>
      </c>
      <c r="G139" s="127">
        <v>13750</v>
      </c>
      <c r="H139" s="127">
        <f t="shared" si="37"/>
        <v>530</v>
      </c>
      <c r="I139" s="127">
        <v>710</v>
      </c>
      <c r="J139" s="127">
        <f t="shared" si="38"/>
        <v>7642.6</v>
      </c>
      <c r="K139" s="127">
        <v>450</v>
      </c>
      <c r="L139" s="127">
        <f t="shared" si="39"/>
        <v>2560</v>
      </c>
      <c r="M139" s="127">
        <f t="shared" si="39"/>
        <v>390</v>
      </c>
      <c r="N139" s="127">
        <f t="shared" si="39"/>
        <v>290</v>
      </c>
      <c r="O139" s="127">
        <f t="shared" si="39"/>
        <v>1380</v>
      </c>
      <c r="P139" s="178">
        <v>57274.844710400001</v>
      </c>
      <c r="Q139" s="127">
        <v>18980</v>
      </c>
      <c r="R139" s="127">
        <f t="shared" si="40"/>
        <v>6320</v>
      </c>
      <c r="S139" s="127"/>
      <c r="T139" s="127">
        <v>0</v>
      </c>
      <c r="U139" s="178">
        <v>8330</v>
      </c>
      <c r="V139" s="127">
        <v>1500</v>
      </c>
      <c r="W139" s="89">
        <v>26990</v>
      </c>
      <c r="X139" s="127">
        <v>3000</v>
      </c>
      <c r="Y139" s="127">
        <v>195</v>
      </c>
      <c r="Z139" s="179">
        <f t="shared" si="41"/>
        <v>4120</v>
      </c>
      <c r="AA139" s="123"/>
      <c r="AB139" s="124">
        <v>363</v>
      </c>
      <c r="AC139" s="124">
        <v>7</v>
      </c>
      <c r="AD139" s="180">
        <v>1.5</v>
      </c>
      <c r="AE139" s="181">
        <v>4</v>
      </c>
      <c r="AF139" s="182">
        <f t="shared" si="28"/>
        <v>1115</v>
      </c>
      <c r="AG139" s="182">
        <v>4</v>
      </c>
      <c r="AH139" s="123"/>
      <c r="AI139" s="124">
        <v>157.78194135096419</v>
      </c>
      <c r="AJ139" s="92">
        <f t="shared" si="14"/>
        <v>1190</v>
      </c>
      <c r="AK139" s="124">
        <v>130</v>
      </c>
      <c r="AL139" s="124">
        <v>1030</v>
      </c>
      <c r="AM139" s="124"/>
      <c r="AN139" s="124">
        <f t="shared" si="15"/>
        <v>147167.40781249999</v>
      </c>
      <c r="AO139" s="124">
        <f t="shared" si="16"/>
        <v>69919.844710400008</v>
      </c>
      <c r="AP139" s="129"/>
      <c r="AQ139" s="175"/>
      <c r="AR139" s="145"/>
      <c r="AS139" s="145"/>
      <c r="AT139" s="183">
        <f t="shared" si="36"/>
        <v>9.9999999999999499E-3</v>
      </c>
      <c r="AU139" s="183">
        <f t="shared" si="36"/>
        <v>8.4745762711864406E-3</v>
      </c>
      <c r="AV139" s="183">
        <f t="shared" si="36"/>
        <v>0</v>
      </c>
      <c r="AW139" s="183">
        <f t="shared" si="36"/>
        <v>9.8039215686274508E-3</v>
      </c>
      <c r="AX139" s="183">
        <f t="shared" si="8"/>
        <v>1.0039371176446829E-2</v>
      </c>
      <c r="AY139" s="183">
        <f t="shared" si="8"/>
        <v>9.7783161959554433E-3</v>
      </c>
      <c r="AZ139" s="183">
        <f t="shared" si="9"/>
        <v>9.9562668651716757E-3</v>
      </c>
      <c r="BG139" s="91"/>
      <c r="BQ139" s="172"/>
    </row>
    <row r="140" spans="1:69" ht="12" customHeight="1" outlineLevel="1">
      <c r="A140" s="49">
        <v>47027</v>
      </c>
      <c r="B140" s="49" t="s">
        <v>74</v>
      </c>
      <c r="C140" s="176">
        <f t="shared" si="20"/>
        <v>223210</v>
      </c>
      <c r="D140" s="177">
        <f t="shared" si="34"/>
        <v>218060</v>
      </c>
      <c r="E140" s="127">
        <f t="shared" si="42"/>
        <v>36464.807812499996</v>
      </c>
      <c r="F140" s="127">
        <v>26210</v>
      </c>
      <c r="G140" s="127">
        <v>13750</v>
      </c>
      <c r="H140" s="127">
        <f t="shared" si="37"/>
        <v>530</v>
      </c>
      <c r="I140" s="127">
        <v>710</v>
      </c>
      <c r="J140" s="127">
        <f t="shared" si="38"/>
        <v>7642.6</v>
      </c>
      <c r="K140" s="127">
        <v>450</v>
      </c>
      <c r="L140" s="127">
        <f t="shared" si="39"/>
        <v>2560</v>
      </c>
      <c r="M140" s="127">
        <f t="shared" si="39"/>
        <v>390</v>
      </c>
      <c r="N140" s="127">
        <f t="shared" si="39"/>
        <v>290</v>
      </c>
      <c r="O140" s="127">
        <f t="shared" si="39"/>
        <v>1380</v>
      </c>
      <c r="P140" s="178">
        <v>60989.801026100009</v>
      </c>
      <c r="Q140" s="127">
        <v>20360</v>
      </c>
      <c r="R140" s="127">
        <f t="shared" si="40"/>
        <v>6320</v>
      </c>
      <c r="S140" s="127"/>
      <c r="T140" s="127">
        <v>0</v>
      </c>
      <c r="U140" s="178">
        <v>8330</v>
      </c>
      <c r="V140" s="127">
        <v>1500</v>
      </c>
      <c r="W140" s="89">
        <v>26990</v>
      </c>
      <c r="X140" s="127">
        <v>3000</v>
      </c>
      <c r="Y140" s="127">
        <v>195</v>
      </c>
      <c r="Z140" s="179">
        <f t="shared" si="41"/>
        <v>5150</v>
      </c>
      <c r="AA140" s="123"/>
      <c r="AB140" s="124">
        <v>371</v>
      </c>
      <c r="AC140" s="124">
        <v>7</v>
      </c>
      <c r="AD140" s="180">
        <v>1.5</v>
      </c>
      <c r="AE140" s="181">
        <v>5</v>
      </c>
      <c r="AF140" s="182">
        <f t="shared" si="28"/>
        <v>1120</v>
      </c>
      <c r="AG140" s="182">
        <v>5</v>
      </c>
      <c r="AH140" s="123"/>
      <c r="AI140" s="124">
        <v>164.39299467951486</v>
      </c>
      <c r="AJ140" s="92">
        <f t="shared" si="14"/>
        <v>1190</v>
      </c>
      <c r="AK140" s="124">
        <v>130</v>
      </c>
      <c r="AL140" s="124">
        <v>1030</v>
      </c>
      <c r="AM140" s="124"/>
      <c r="AN140" s="124">
        <f t="shared" si="15"/>
        <v>148547.40781249999</v>
      </c>
      <c r="AO140" s="124">
        <f t="shared" si="16"/>
        <v>74664.801026100002</v>
      </c>
      <c r="AP140" s="109"/>
      <c r="AQ140" s="175"/>
      <c r="AR140" s="145"/>
      <c r="AS140" s="145"/>
      <c r="AT140" s="183">
        <f t="shared" si="36"/>
        <v>1.0000000000000096E-2</v>
      </c>
      <c r="AU140" s="183">
        <f t="shared" si="36"/>
        <v>8.4745762711864406E-3</v>
      </c>
      <c r="AV140" s="183">
        <f t="shared" si="36"/>
        <v>0</v>
      </c>
      <c r="AW140" s="183">
        <f t="shared" si="36"/>
        <v>9.8039215686274508E-3</v>
      </c>
      <c r="AX140" s="183">
        <f t="shared" si="8"/>
        <v>1.0013847137125076E-2</v>
      </c>
      <c r="AY140" s="183">
        <f t="shared" si="8"/>
        <v>9.7896970249307155E-3</v>
      </c>
      <c r="AZ140" s="183">
        <f t="shared" si="9"/>
        <v>9.9543007103750965E-3</v>
      </c>
      <c r="BG140" s="91"/>
      <c r="BQ140" s="172"/>
    </row>
    <row r="141" spans="1:69" ht="12" customHeight="1" outlineLevel="1">
      <c r="A141" s="49">
        <v>47058</v>
      </c>
      <c r="B141" s="49" t="s">
        <v>63</v>
      </c>
      <c r="C141" s="176">
        <f t="shared" si="20"/>
        <v>223330</v>
      </c>
      <c r="D141" s="177">
        <f t="shared" si="34"/>
        <v>204790</v>
      </c>
      <c r="E141" s="127">
        <f t="shared" si="42"/>
        <v>36464.807812499996</v>
      </c>
      <c r="F141" s="127">
        <v>26210</v>
      </c>
      <c r="G141" s="127">
        <v>13750</v>
      </c>
      <c r="H141" s="127">
        <f t="shared" si="37"/>
        <v>530</v>
      </c>
      <c r="I141" s="127">
        <v>710</v>
      </c>
      <c r="J141" s="127">
        <f t="shared" si="38"/>
        <v>7642.6</v>
      </c>
      <c r="K141" s="127">
        <v>450</v>
      </c>
      <c r="L141" s="127">
        <f t="shared" si="39"/>
        <v>2560</v>
      </c>
      <c r="M141" s="127">
        <f t="shared" si="39"/>
        <v>390</v>
      </c>
      <c r="N141" s="127">
        <f t="shared" si="39"/>
        <v>290</v>
      </c>
      <c r="O141" s="127">
        <f t="shared" si="39"/>
        <v>1380</v>
      </c>
      <c r="P141" s="178">
        <v>49366.254234400003</v>
      </c>
      <c r="Q141" s="127">
        <v>18720</v>
      </c>
      <c r="R141" s="127">
        <f t="shared" si="40"/>
        <v>6320</v>
      </c>
      <c r="S141" s="127"/>
      <c r="T141" s="127">
        <v>0</v>
      </c>
      <c r="U141" s="178">
        <v>8330</v>
      </c>
      <c r="V141" s="127">
        <v>1500</v>
      </c>
      <c r="W141" s="89">
        <v>26990</v>
      </c>
      <c r="X141" s="127">
        <v>3000</v>
      </c>
      <c r="Y141" s="127">
        <v>195</v>
      </c>
      <c r="Z141" s="179">
        <f t="shared" si="41"/>
        <v>18540</v>
      </c>
      <c r="AA141" s="123"/>
      <c r="AB141" s="124">
        <v>208</v>
      </c>
      <c r="AC141" s="124">
        <v>7</v>
      </c>
      <c r="AD141" s="180">
        <v>1.5</v>
      </c>
      <c r="AE141" s="181">
        <v>18</v>
      </c>
      <c r="AF141" s="182">
        <f t="shared" si="28"/>
        <v>1138</v>
      </c>
      <c r="AG141" s="182">
        <v>18</v>
      </c>
      <c r="AH141" s="123"/>
      <c r="AI141" s="124">
        <v>237.33776074230769</v>
      </c>
      <c r="AJ141" s="92">
        <f t="shared" si="14"/>
        <v>1190</v>
      </c>
      <c r="AK141" s="124">
        <v>130</v>
      </c>
      <c r="AL141" s="124">
        <v>1030</v>
      </c>
      <c r="AM141" s="124"/>
      <c r="AN141" s="124">
        <f t="shared" si="15"/>
        <v>146907.40781249999</v>
      </c>
      <c r="AO141" s="124">
        <f t="shared" si="16"/>
        <v>76431.254234399996</v>
      </c>
      <c r="AP141" s="109"/>
      <c r="AQ141" s="175"/>
      <c r="AR141" s="145"/>
      <c r="AS141" s="145"/>
      <c r="AT141" s="183">
        <f t="shared" si="36"/>
        <v>1.0000000000000052E-2</v>
      </c>
      <c r="AU141" s="183">
        <f t="shared" si="36"/>
        <v>8.4745762711864406E-3</v>
      </c>
      <c r="AV141" s="183">
        <f t="shared" si="36"/>
        <v>0</v>
      </c>
      <c r="AW141" s="183">
        <f t="shared" si="36"/>
        <v>9.8039215686274508E-3</v>
      </c>
      <c r="AX141" s="183">
        <f t="shared" si="8"/>
        <v>1.0057317776438932E-2</v>
      </c>
      <c r="AY141" s="183">
        <f t="shared" si="8"/>
        <v>9.7602139587145264E-3</v>
      </c>
      <c r="AZ141" s="183">
        <f t="shared" si="9"/>
        <v>9.9488988377877275E-3</v>
      </c>
      <c r="BG141" s="91"/>
      <c r="BQ141" s="172"/>
    </row>
    <row r="142" spans="1:69" ht="12" customHeight="1" outlineLevel="1">
      <c r="A142" s="52">
        <v>47088</v>
      </c>
      <c r="B142" s="52" t="s">
        <v>64</v>
      </c>
      <c r="C142" s="184">
        <f t="shared" si="20"/>
        <v>243190</v>
      </c>
      <c r="D142" s="185">
        <f t="shared" si="34"/>
        <v>187570</v>
      </c>
      <c r="E142" s="186">
        <f t="shared" si="42"/>
        <v>36464.807812499996</v>
      </c>
      <c r="F142" s="186">
        <v>26210</v>
      </c>
      <c r="G142" s="186">
        <v>13750</v>
      </c>
      <c r="H142" s="186">
        <f t="shared" si="37"/>
        <v>530</v>
      </c>
      <c r="I142" s="186">
        <v>710</v>
      </c>
      <c r="J142" s="186">
        <f>J141</f>
        <v>7642.6</v>
      </c>
      <c r="K142" s="186">
        <v>450</v>
      </c>
      <c r="L142" s="186">
        <f>L141</f>
        <v>2560</v>
      </c>
      <c r="M142" s="186">
        <f>M141</f>
        <v>390</v>
      </c>
      <c r="N142" s="186">
        <f>N141</f>
        <v>290</v>
      </c>
      <c r="O142" s="186">
        <f>O141</f>
        <v>1380</v>
      </c>
      <c r="P142" s="187">
        <v>38361.866828649996</v>
      </c>
      <c r="Q142" s="186">
        <v>12500</v>
      </c>
      <c r="R142" s="186">
        <f>R141</f>
        <v>6320</v>
      </c>
      <c r="S142" s="186"/>
      <c r="T142" s="186">
        <v>0</v>
      </c>
      <c r="U142" s="187">
        <v>8330</v>
      </c>
      <c r="V142" s="186">
        <v>1500</v>
      </c>
      <c r="W142" s="135">
        <v>26990</v>
      </c>
      <c r="X142" s="186">
        <v>3000</v>
      </c>
      <c r="Y142" s="186">
        <v>195</v>
      </c>
      <c r="Z142" s="188">
        <f t="shared" si="41"/>
        <v>55620</v>
      </c>
      <c r="AA142" s="137"/>
      <c r="AB142" s="137">
        <v>219</v>
      </c>
      <c r="AC142" s="137">
        <v>7</v>
      </c>
      <c r="AD142" s="189">
        <v>1.5</v>
      </c>
      <c r="AE142" s="190">
        <v>54</v>
      </c>
      <c r="AF142" s="191">
        <f t="shared" si="28"/>
        <v>1192</v>
      </c>
      <c r="AG142" s="191">
        <v>54</v>
      </c>
      <c r="AH142" s="137"/>
      <c r="AI142" s="137">
        <v>175.16834168333332</v>
      </c>
      <c r="AJ142" s="138">
        <f t="shared" si="14"/>
        <v>1190</v>
      </c>
      <c r="AK142" s="137">
        <v>130</v>
      </c>
      <c r="AL142" s="137">
        <v>1030</v>
      </c>
      <c r="AM142" s="137"/>
      <c r="AN142" s="137">
        <f t="shared" si="15"/>
        <v>140687.40781249999</v>
      </c>
      <c r="AO142" s="137">
        <f t="shared" si="16"/>
        <v>102506.86682865</v>
      </c>
      <c r="AP142" s="150"/>
      <c r="AQ142" s="192"/>
      <c r="AR142" s="141"/>
      <c r="AS142" s="141"/>
      <c r="AT142" s="193">
        <f t="shared" si="36"/>
        <v>9.9999999999999846E-3</v>
      </c>
      <c r="AU142" s="193">
        <f t="shared" si="36"/>
        <v>8.4745762711864406E-3</v>
      </c>
      <c r="AV142" s="193">
        <f t="shared" si="36"/>
        <v>0</v>
      </c>
      <c r="AW142" s="193">
        <f t="shared" si="36"/>
        <v>9.8039215686274508E-3</v>
      </c>
      <c r="AX142" s="193">
        <f t="shared" si="8"/>
        <v>9.9988266776266082E-3</v>
      </c>
      <c r="AY142" s="193">
        <f t="shared" si="8"/>
        <v>9.7502882431305775E-3</v>
      </c>
      <c r="AZ142" s="193">
        <f t="shared" si="9"/>
        <v>9.8833104937502587E-3</v>
      </c>
      <c r="BG142" s="91"/>
      <c r="BQ142" s="172"/>
    </row>
    <row r="143" spans="1:69" ht="12" customHeight="1" outlineLevel="1">
      <c r="A143" s="49">
        <v>47119</v>
      </c>
      <c r="B143" s="49" t="s">
        <v>65</v>
      </c>
      <c r="C143" s="176">
        <f t="shared" si="20"/>
        <v>331700</v>
      </c>
      <c r="D143" s="177">
        <f t="shared" si="34"/>
        <v>197800</v>
      </c>
      <c r="E143" s="127">
        <f t="shared" si="42"/>
        <v>36464.807812499996</v>
      </c>
      <c r="F143" s="127">
        <v>26210</v>
      </c>
      <c r="G143" s="127">
        <v>13750</v>
      </c>
      <c r="H143" s="127">
        <v>540</v>
      </c>
      <c r="I143" s="127">
        <v>710</v>
      </c>
      <c r="J143" s="127">
        <f>J142*(1+3%)</f>
        <v>7871.8780000000006</v>
      </c>
      <c r="K143" s="127">
        <v>450</v>
      </c>
      <c r="L143" s="127">
        <f>ROUND(L142*(1+$B$169),-1)</f>
        <v>2580</v>
      </c>
      <c r="M143" s="127">
        <f>ROUND(M142*(1+$B$169),-1)</f>
        <v>390</v>
      </c>
      <c r="N143" s="127">
        <f>ROUND(N142*(1+$B$169),-1)</f>
        <v>290</v>
      </c>
      <c r="O143" s="127">
        <f>ROUND(O142*(1+$B$169),-1)</f>
        <v>1390</v>
      </c>
      <c r="P143" s="178">
        <v>36238.826527448</v>
      </c>
      <c r="Q143" s="127">
        <v>15790</v>
      </c>
      <c r="R143" s="127">
        <f>ROUND(R142*(1+$B$169),-1)</f>
        <v>6370</v>
      </c>
      <c r="S143" s="127"/>
      <c r="T143" s="127">
        <v>0</v>
      </c>
      <c r="U143" s="178">
        <v>8330</v>
      </c>
      <c r="V143" s="127">
        <v>1500</v>
      </c>
      <c r="W143" s="89">
        <v>35730</v>
      </c>
      <c r="X143" s="127">
        <v>3000</v>
      </c>
      <c r="Y143" s="127">
        <v>195</v>
      </c>
      <c r="Z143" s="179">
        <f>AE143*AL143</f>
        <v>133900</v>
      </c>
      <c r="AA143" s="124"/>
      <c r="AB143" s="124">
        <v>214</v>
      </c>
      <c r="AC143" s="124">
        <v>7</v>
      </c>
      <c r="AD143" s="180">
        <v>1.5</v>
      </c>
      <c r="AE143" s="181">
        <v>130</v>
      </c>
      <c r="AF143" s="182">
        <f t="shared" si="28"/>
        <v>1322</v>
      </c>
      <c r="AG143" s="182">
        <v>130</v>
      </c>
      <c r="AH143" s="124"/>
      <c r="AI143" s="124">
        <v>169.34031087592524</v>
      </c>
      <c r="AJ143" s="92">
        <f t="shared" si="14"/>
        <v>1190</v>
      </c>
      <c r="AK143" s="124">
        <v>130</v>
      </c>
      <c r="AL143" s="124">
        <v>1030</v>
      </c>
      <c r="AM143" s="124"/>
      <c r="AN143" s="124">
        <f t="shared" si="15"/>
        <v>153036.68581249999</v>
      </c>
      <c r="AO143" s="124">
        <f t="shared" si="16"/>
        <v>178663.82652744799</v>
      </c>
      <c r="AP143" s="109"/>
      <c r="AQ143" s="175"/>
      <c r="AR143" s="145"/>
      <c r="AS143" s="145"/>
      <c r="AT143" s="183">
        <f t="shared" si="36"/>
        <v>9.9999999999999638E-3</v>
      </c>
      <c r="AU143" s="183">
        <f t="shared" si="36"/>
        <v>8.4745762711864406E-3</v>
      </c>
      <c r="AV143" s="183">
        <f t="shared" si="36"/>
        <v>0</v>
      </c>
      <c r="AW143" s="183">
        <f t="shared" si="36"/>
        <v>9.8039215686274508E-3</v>
      </c>
      <c r="AX143" s="194">
        <f t="shared" si="8"/>
        <v>7.1256184715193641E-2</v>
      </c>
      <c r="AY143" s="194">
        <f t="shared" si="8"/>
        <v>9.7708198265994434E-3</v>
      </c>
      <c r="AZ143" s="194">
        <f t="shared" si="9"/>
        <v>3.7243190843991372E-2</v>
      </c>
      <c r="BG143" s="91"/>
      <c r="BQ143" s="172"/>
    </row>
    <row r="144" spans="1:69" ht="12" customHeight="1" outlineLevel="1">
      <c r="A144" s="49">
        <v>47150</v>
      </c>
      <c r="B144" s="49" t="s">
        <v>66</v>
      </c>
      <c r="C144" s="176">
        <f t="shared" si="20"/>
        <v>338250</v>
      </c>
      <c r="D144" s="177">
        <f>ROUNDDOWN(SUM(E144:Y144),-1)</f>
        <v>203050</v>
      </c>
      <c r="E144" s="127">
        <f>E143*(1+$B$167)</f>
        <v>36920.617910156245</v>
      </c>
      <c r="F144" s="127">
        <v>26540</v>
      </c>
      <c r="G144" s="127">
        <v>13920</v>
      </c>
      <c r="H144" s="127">
        <f>H143</f>
        <v>540</v>
      </c>
      <c r="I144" s="127">
        <v>720</v>
      </c>
      <c r="J144" s="127">
        <f>J143</f>
        <v>7871.8780000000006</v>
      </c>
      <c r="K144" s="127">
        <v>460</v>
      </c>
      <c r="L144" s="127">
        <f>L143</f>
        <v>2580</v>
      </c>
      <c r="M144" s="127">
        <f>M143</f>
        <v>390</v>
      </c>
      <c r="N144" s="127">
        <f>N143</f>
        <v>290</v>
      </c>
      <c r="O144" s="127">
        <f>O143</f>
        <v>1390</v>
      </c>
      <c r="P144" s="178">
        <v>37903.328815641777</v>
      </c>
      <c r="Q144" s="127">
        <v>18330</v>
      </c>
      <c r="R144" s="127">
        <f>R143</f>
        <v>6370</v>
      </c>
      <c r="S144" s="127"/>
      <c r="T144" s="127">
        <v>0</v>
      </c>
      <c r="U144" s="178">
        <v>8400</v>
      </c>
      <c r="V144" s="127">
        <v>1500</v>
      </c>
      <c r="W144" s="89">
        <v>35730</v>
      </c>
      <c r="X144" s="127">
        <v>3000</v>
      </c>
      <c r="Y144" s="127">
        <v>195</v>
      </c>
      <c r="Z144" s="179">
        <f>AE144*AL144</f>
        <v>135200</v>
      </c>
      <c r="AA144" s="123"/>
      <c r="AB144" s="124">
        <v>240</v>
      </c>
      <c r="AC144" s="124">
        <v>7</v>
      </c>
      <c r="AD144" s="180">
        <v>1.5</v>
      </c>
      <c r="AE144" s="181">
        <v>130</v>
      </c>
      <c r="AF144" s="182">
        <f t="shared" si="28"/>
        <v>1452</v>
      </c>
      <c r="AG144" s="182">
        <v>130</v>
      </c>
      <c r="AH144" s="123"/>
      <c r="AI144" s="124">
        <v>157.93053673184073</v>
      </c>
      <c r="AJ144" s="92">
        <f t="shared" si="14"/>
        <v>1200</v>
      </c>
      <c r="AK144" s="124">
        <v>130</v>
      </c>
      <c r="AL144" s="124">
        <v>1040</v>
      </c>
      <c r="AM144" s="124"/>
      <c r="AN144" s="124">
        <f t="shared" si="15"/>
        <v>156552.49591015623</v>
      </c>
      <c r="AO144" s="124">
        <f t="shared" si="16"/>
        <v>181698.32881564178</v>
      </c>
      <c r="AP144" s="63"/>
      <c r="AQ144" s="175"/>
      <c r="AR144" s="120"/>
      <c r="AS144" s="120"/>
      <c r="AT144" s="195">
        <f t="shared" si="36"/>
        <v>9.9999999999999967E-3</v>
      </c>
      <c r="AU144" s="195">
        <f t="shared" si="36"/>
        <v>8.4033613445378148E-3</v>
      </c>
      <c r="AV144" s="195">
        <f t="shared" si="36"/>
        <v>0</v>
      </c>
      <c r="AW144" s="195">
        <f t="shared" si="36"/>
        <v>9.7087378640776691E-3</v>
      </c>
      <c r="AX144" s="183">
        <f t="shared" si="8"/>
        <v>6.9805036527260875E-2</v>
      </c>
      <c r="AY144" s="183">
        <f t="shared" si="8"/>
        <v>9.6985324755387067E-3</v>
      </c>
      <c r="AZ144" s="183">
        <f t="shared" si="9"/>
        <v>3.6654509791902906E-2</v>
      </c>
      <c r="BG144" s="91"/>
      <c r="BQ144" s="172"/>
    </row>
    <row r="145" spans="1:69" ht="12" customHeight="1" outlineLevel="1">
      <c r="A145" s="49">
        <v>47178</v>
      </c>
      <c r="B145" s="49" t="s">
        <v>67</v>
      </c>
      <c r="C145" s="176">
        <f t="shared" si="20"/>
        <v>317290</v>
      </c>
      <c r="D145" s="177">
        <f t="shared" si="34"/>
        <v>204970</v>
      </c>
      <c r="E145" s="127">
        <f>E144</f>
        <v>36920.617910156245</v>
      </c>
      <c r="F145" s="127">
        <v>26540</v>
      </c>
      <c r="G145" s="127">
        <v>13920</v>
      </c>
      <c r="H145" s="127">
        <f t="shared" ref="H145:H154" si="43">H144</f>
        <v>540</v>
      </c>
      <c r="I145" s="127">
        <v>720</v>
      </c>
      <c r="J145" s="127">
        <f t="shared" ref="J145:J153" si="44">J144</f>
        <v>7871.8780000000006</v>
      </c>
      <c r="K145" s="127">
        <v>460</v>
      </c>
      <c r="L145" s="127">
        <f t="shared" ref="L145:O153" si="45">L144</f>
        <v>2580</v>
      </c>
      <c r="M145" s="127">
        <f t="shared" si="45"/>
        <v>390</v>
      </c>
      <c r="N145" s="127">
        <f t="shared" si="45"/>
        <v>290</v>
      </c>
      <c r="O145" s="127">
        <f t="shared" si="45"/>
        <v>1390</v>
      </c>
      <c r="P145" s="178">
        <v>39507.46778325901</v>
      </c>
      <c r="Q145" s="127">
        <v>18650</v>
      </c>
      <c r="R145" s="127">
        <f t="shared" ref="R145:R153" si="46">R144</f>
        <v>6370</v>
      </c>
      <c r="S145" s="127"/>
      <c r="T145" s="127">
        <v>0</v>
      </c>
      <c r="U145" s="178">
        <v>8400</v>
      </c>
      <c r="V145" s="127">
        <v>1500</v>
      </c>
      <c r="W145" s="89">
        <v>35730</v>
      </c>
      <c r="X145" s="127">
        <v>3000</v>
      </c>
      <c r="Y145" s="127">
        <v>195</v>
      </c>
      <c r="Z145" s="179">
        <f t="shared" ref="Z145:Z154" si="47">AE145*AL145</f>
        <v>112320</v>
      </c>
      <c r="AA145" s="123"/>
      <c r="AB145" s="124">
        <v>250</v>
      </c>
      <c r="AC145" s="124">
        <v>7</v>
      </c>
      <c r="AD145" s="180">
        <v>1.5</v>
      </c>
      <c r="AE145" s="181">
        <v>108</v>
      </c>
      <c r="AF145" s="182">
        <f t="shared" si="28"/>
        <v>1560</v>
      </c>
      <c r="AG145" s="182">
        <v>108</v>
      </c>
      <c r="AH145" s="123"/>
      <c r="AI145" s="124">
        <v>158.02987113303604</v>
      </c>
      <c r="AJ145" s="92">
        <f t="shared" si="14"/>
        <v>1200</v>
      </c>
      <c r="AK145" s="124">
        <v>130</v>
      </c>
      <c r="AL145" s="124">
        <v>1040</v>
      </c>
      <c r="AM145" s="124"/>
      <c r="AN145" s="124">
        <f t="shared" si="15"/>
        <v>156872.49591015623</v>
      </c>
      <c r="AO145" s="124">
        <f t="shared" si="16"/>
        <v>160422.467783259</v>
      </c>
      <c r="AP145" s="148"/>
      <c r="AQ145" s="175"/>
      <c r="AR145" s="145"/>
      <c r="AS145" s="145"/>
      <c r="AT145" s="195">
        <f t="shared" si="36"/>
        <v>1.0000000000000019E-2</v>
      </c>
      <c r="AU145" s="195">
        <f t="shared" si="36"/>
        <v>8.4033613445378148E-3</v>
      </c>
      <c r="AV145" s="195">
        <f t="shared" si="36"/>
        <v>0</v>
      </c>
      <c r="AW145" s="195">
        <f t="shared" si="36"/>
        <v>9.7087378640776691E-3</v>
      </c>
      <c r="AX145" s="183">
        <f t="shared" si="8"/>
        <v>6.9652725014178074E-2</v>
      </c>
      <c r="AY145" s="183">
        <f t="shared" si="8"/>
        <v>9.7000905796989102E-3</v>
      </c>
      <c r="AZ145" s="183">
        <f t="shared" si="9"/>
        <v>3.8490491932052499E-2</v>
      </c>
      <c r="BG145" s="91"/>
      <c r="BQ145" s="172"/>
    </row>
    <row r="146" spans="1:69" ht="12" customHeight="1" outlineLevel="1">
      <c r="A146" s="49">
        <v>47209</v>
      </c>
      <c r="B146" s="49" t="s">
        <v>68</v>
      </c>
      <c r="C146" s="176">
        <f t="shared" si="20"/>
        <v>266460</v>
      </c>
      <c r="D146" s="177">
        <f t="shared" si="34"/>
        <v>197820</v>
      </c>
      <c r="E146" s="127">
        <f t="shared" ref="E146:E155" si="48">E145</f>
        <v>36920.617910156245</v>
      </c>
      <c r="F146" s="127">
        <v>26540</v>
      </c>
      <c r="G146" s="127">
        <v>13920</v>
      </c>
      <c r="H146" s="127">
        <f t="shared" si="43"/>
        <v>540</v>
      </c>
      <c r="I146" s="127">
        <v>720</v>
      </c>
      <c r="J146" s="127">
        <f t="shared" si="44"/>
        <v>7871.8780000000006</v>
      </c>
      <c r="K146" s="127">
        <v>460</v>
      </c>
      <c r="L146" s="127">
        <f t="shared" si="45"/>
        <v>2580</v>
      </c>
      <c r="M146" s="127">
        <f t="shared" si="45"/>
        <v>390</v>
      </c>
      <c r="N146" s="127">
        <f t="shared" si="45"/>
        <v>290</v>
      </c>
      <c r="O146" s="127">
        <f t="shared" si="45"/>
        <v>1390</v>
      </c>
      <c r="P146" s="178">
        <v>35608.220497388007</v>
      </c>
      <c r="Q146" s="127">
        <v>15400</v>
      </c>
      <c r="R146" s="127">
        <f t="shared" si="46"/>
        <v>6370</v>
      </c>
      <c r="S146" s="127"/>
      <c r="T146" s="127">
        <v>0</v>
      </c>
      <c r="U146" s="178">
        <v>8400</v>
      </c>
      <c r="V146" s="127">
        <v>1500</v>
      </c>
      <c r="W146" s="89">
        <v>35730</v>
      </c>
      <c r="X146" s="127">
        <v>3000</v>
      </c>
      <c r="Y146" s="127">
        <v>195</v>
      </c>
      <c r="Z146" s="179">
        <f t="shared" si="47"/>
        <v>68640</v>
      </c>
      <c r="AA146" s="123"/>
      <c r="AB146" s="124">
        <v>207</v>
      </c>
      <c r="AC146" s="124">
        <v>7</v>
      </c>
      <c r="AD146" s="180">
        <v>1.5</v>
      </c>
      <c r="AE146" s="181">
        <v>66</v>
      </c>
      <c r="AF146" s="182">
        <f t="shared" si="28"/>
        <v>1626</v>
      </c>
      <c r="AG146" s="182">
        <v>66</v>
      </c>
      <c r="AH146" s="123"/>
      <c r="AI146" s="124">
        <v>172.02038887627057</v>
      </c>
      <c r="AJ146" s="92">
        <f t="shared" si="14"/>
        <v>1200</v>
      </c>
      <c r="AK146" s="124">
        <v>130</v>
      </c>
      <c r="AL146" s="124">
        <v>1040</v>
      </c>
      <c r="AM146" s="124"/>
      <c r="AN146" s="124">
        <f t="shared" si="15"/>
        <v>153622.49591015623</v>
      </c>
      <c r="AO146" s="124">
        <f t="shared" si="16"/>
        <v>112843.22049738801</v>
      </c>
      <c r="AP146" s="148"/>
      <c r="AQ146" s="175"/>
      <c r="AR146" s="145"/>
      <c r="AS146" s="145"/>
      <c r="AT146" s="195">
        <f t="shared" si="36"/>
        <v>1.0000000000000031E-2</v>
      </c>
      <c r="AU146" s="195">
        <f t="shared" si="36"/>
        <v>8.4033613445378148E-3</v>
      </c>
      <c r="AV146" s="195">
        <f t="shared" si="36"/>
        <v>0</v>
      </c>
      <c r="AW146" s="195">
        <f t="shared" si="36"/>
        <v>9.7087378640776691E-3</v>
      </c>
      <c r="AX146" s="183">
        <f t="shared" si="8"/>
        <v>7.100719577259848E-2</v>
      </c>
      <c r="AY146" s="183">
        <f t="shared" si="8"/>
        <v>9.6863833947490301E-3</v>
      </c>
      <c r="AZ146" s="183">
        <f t="shared" si="9"/>
        <v>4.4163172538108857E-2</v>
      </c>
      <c r="BG146" s="91"/>
      <c r="BQ146" s="172"/>
    </row>
    <row r="147" spans="1:69" ht="12" customHeight="1" outlineLevel="1">
      <c r="A147" s="49">
        <v>47239</v>
      </c>
      <c r="B147" s="49" t="s">
        <v>69</v>
      </c>
      <c r="C147" s="176">
        <f t="shared" si="20"/>
        <v>219750</v>
      </c>
      <c r="D147" s="177">
        <f t="shared" si="34"/>
        <v>202070</v>
      </c>
      <c r="E147" s="127">
        <f t="shared" si="48"/>
        <v>36920.617910156245</v>
      </c>
      <c r="F147" s="127">
        <v>26540</v>
      </c>
      <c r="G147" s="127">
        <v>13920</v>
      </c>
      <c r="H147" s="127">
        <f t="shared" si="43"/>
        <v>540</v>
      </c>
      <c r="I147" s="127">
        <v>720</v>
      </c>
      <c r="J147" s="127">
        <f t="shared" si="44"/>
        <v>7871.8780000000006</v>
      </c>
      <c r="K147" s="127">
        <v>460</v>
      </c>
      <c r="L147" s="127">
        <f t="shared" si="45"/>
        <v>2580</v>
      </c>
      <c r="M147" s="127">
        <f t="shared" si="45"/>
        <v>390</v>
      </c>
      <c r="N147" s="127">
        <f t="shared" si="45"/>
        <v>290</v>
      </c>
      <c r="O147" s="127">
        <f t="shared" si="45"/>
        <v>1390</v>
      </c>
      <c r="P147" s="178">
        <v>35061.695271336001</v>
      </c>
      <c r="Q147" s="127">
        <v>20200</v>
      </c>
      <c r="R147" s="127">
        <f t="shared" si="46"/>
        <v>6370</v>
      </c>
      <c r="S147" s="127"/>
      <c r="T147" s="127">
        <v>0</v>
      </c>
      <c r="U147" s="178">
        <v>8400</v>
      </c>
      <c r="V147" s="127">
        <v>1500</v>
      </c>
      <c r="W147" s="89">
        <v>35730</v>
      </c>
      <c r="X147" s="127">
        <v>3000</v>
      </c>
      <c r="Y147" s="127">
        <v>195</v>
      </c>
      <c r="Z147" s="179">
        <f t="shared" si="47"/>
        <v>17680</v>
      </c>
      <c r="AA147" s="123"/>
      <c r="AB147" s="124">
        <v>227</v>
      </c>
      <c r="AC147" s="124">
        <v>7</v>
      </c>
      <c r="AD147" s="180">
        <v>1.5</v>
      </c>
      <c r="AE147" s="181">
        <v>17</v>
      </c>
      <c r="AF147" s="182">
        <f t="shared" si="28"/>
        <v>1643</v>
      </c>
      <c r="AG147" s="182">
        <v>17</v>
      </c>
      <c r="AH147" s="123"/>
      <c r="AI147" s="124">
        <v>154.45680736271365</v>
      </c>
      <c r="AJ147" s="92">
        <f t="shared" si="14"/>
        <v>1200</v>
      </c>
      <c r="AK147" s="124">
        <v>130</v>
      </c>
      <c r="AL147" s="124">
        <v>1040</v>
      </c>
      <c r="AM147" s="124"/>
      <c r="AN147" s="124">
        <f t="shared" si="15"/>
        <v>158422.49591015623</v>
      </c>
      <c r="AO147" s="124">
        <f t="shared" si="16"/>
        <v>61336.695271336001</v>
      </c>
      <c r="AP147" s="166"/>
      <c r="AQ147" s="175"/>
      <c r="AR147" s="145"/>
      <c r="AS147" s="145"/>
      <c r="AT147" s="195">
        <f t="shared" si="36"/>
        <v>9.9999999999999326E-3</v>
      </c>
      <c r="AU147" s="195">
        <f t="shared" si="36"/>
        <v>8.4033613445378148E-3</v>
      </c>
      <c r="AV147" s="195">
        <f t="shared" si="36"/>
        <v>0</v>
      </c>
      <c r="AW147" s="195">
        <f t="shared" si="36"/>
        <v>9.7087378640776691E-3</v>
      </c>
      <c r="AX147" s="183">
        <f t="shared" si="8"/>
        <v>6.9068541306873968E-2</v>
      </c>
      <c r="AY147" s="183">
        <f t="shared" si="8"/>
        <v>9.6650180935357911E-3</v>
      </c>
      <c r="AZ147" s="183">
        <f t="shared" si="9"/>
        <v>5.1787680084238744E-2</v>
      </c>
      <c r="BG147" s="91"/>
      <c r="BQ147" s="172"/>
    </row>
    <row r="148" spans="1:69" ht="12" customHeight="1" outlineLevel="1">
      <c r="A148" s="49">
        <v>47270</v>
      </c>
      <c r="B148" s="49" t="s">
        <v>70</v>
      </c>
      <c r="C148" s="176">
        <f t="shared" si="20"/>
        <v>201910</v>
      </c>
      <c r="D148" s="177">
        <f t="shared" si="34"/>
        <v>190470</v>
      </c>
      <c r="E148" s="127">
        <f t="shared" si="48"/>
        <v>36920.617910156245</v>
      </c>
      <c r="F148" s="127">
        <v>26540</v>
      </c>
      <c r="G148" s="127">
        <v>13920</v>
      </c>
      <c r="H148" s="127">
        <f t="shared" si="43"/>
        <v>540</v>
      </c>
      <c r="I148" s="127">
        <v>720</v>
      </c>
      <c r="J148" s="127">
        <f t="shared" si="44"/>
        <v>7871.8780000000006</v>
      </c>
      <c r="K148" s="127">
        <v>460</v>
      </c>
      <c r="L148" s="127">
        <f t="shared" si="45"/>
        <v>2580</v>
      </c>
      <c r="M148" s="127">
        <f t="shared" si="45"/>
        <v>390</v>
      </c>
      <c r="N148" s="127">
        <f t="shared" si="45"/>
        <v>290</v>
      </c>
      <c r="O148" s="127">
        <f t="shared" si="45"/>
        <v>1390</v>
      </c>
      <c r="P148" s="178">
        <v>29974.806628851995</v>
      </c>
      <c r="Q148" s="127">
        <v>13680</v>
      </c>
      <c r="R148" s="127">
        <f t="shared" si="46"/>
        <v>6370</v>
      </c>
      <c r="S148" s="127"/>
      <c r="T148" s="127">
        <v>0</v>
      </c>
      <c r="U148" s="178">
        <v>8400</v>
      </c>
      <c r="V148" s="127">
        <v>1500</v>
      </c>
      <c r="W148" s="89">
        <v>35730</v>
      </c>
      <c r="X148" s="127">
        <v>3000</v>
      </c>
      <c r="Y148" s="127">
        <v>195</v>
      </c>
      <c r="Z148" s="179">
        <f t="shared" si="47"/>
        <v>11440</v>
      </c>
      <c r="AA148" s="123"/>
      <c r="AB148" s="124">
        <v>201</v>
      </c>
      <c r="AC148" s="124">
        <v>7</v>
      </c>
      <c r="AD148" s="180">
        <v>1.5</v>
      </c>
      <c r="AE148" s="181">
        <v>11</v>
      </c>
      <c r="AF148" s="182">
        <f t="shared" si="28"/>
        <v>1654</v>
      </c>
      <c r="AG148" s="182">
        <v>11</v>
      </c>
      <c r="AH148" s="123"/>
      <c r="AI148" s="124">
        <v>149.12839118831837</v>
      </c>
      <c r="AJ148" s="92">
        <f t="shared" si="14"/>
        <v>1200</v>
      </c>
      <c r="AK148" s="124">
        <v>130</v>
      </c>
      <c r="AL148" s="124">
        <v>1040</v>
      </c>
      <c r="AM148" s="124"/>
      <c r="AN148" s="124">
        <f t="shared" si="15"/>
        <v>151902.49591015623</v>
      </c>
      <c r="AO148" s="124">
        <f t="shared" si="16"/>
        <v>50009.806628851991</v>
      </c>
      <c r="AP148" s="166"/>
      <c r="AQ148" s="175"/>
      <c r="AR148" s="145"/>
      <c r="AS148" s="145"/>
      <c r="AT148" s="195">
        <f t="shared" si="36"/>
        <v>9.9999999999999221E-3</v>
      </c>
      <c r="AU148" s="195">
        <f t="shared" si="36"/>
        <v>8.4033613445378148E-3</v>
      </c>
      <c r="AV148" s="195">
        <f t="shared" si="36"/>
        <v>0</v>
      </c>
      <c r="AW148" s="195">
        <f t="shared" si="36"/>
        <v>9.7087378640776691E-3</v>
      </c>
      <c r="AX148" s="183">
        <f t="shared" ref="AX148:AY166" si="49">IFERROR((AN148-AN136)/AN136,"")</f>
        <v>7.1793369078742272E-2</v>
      </c>
      <c r="AY148" s="183">
        <f t="shared" si="49"/>
        <v>9.6255023897946056E-3</v>
      </c>
      <c r="AZ148" s="183">
        <f t="shared" ref="AZ148:AZ166" si="50">IFERROR((C148-C136)/C136,"")</f>
        <v>5.5683362961413782E-2</v>
      </c>
      <c r="BG148" s="91"/>
      <c r="BQ148" s="172"/>
    </row>
    <row r="149" spans="1:69" ht="12" customHeight="1" outlineLevel="1">
      <c r="A149" s="49">
        <v>47300</v>
      </c>
      <c r="B149" s="49" t="s">
        <v>71</v>
      </c>
      <c r="C149" s="176">
        <f t="shared" si="20"/>
        <v>199060</v>
      </c>
      <c r="D149" s="177">
        <f t="shared" si="34"/>
        <v>194900</v>
      </c>
      <c r="E149" s="127">
        <f t="shared" si="48"/>
        <v>36920.617910156245</v>
      </c>
      <c r="F149" s="127">
        <v>26540</v>
      </c>
      <c r="G149" s="127">
        <v>13920</v>
      </c>
      <c r="H149" s="127">
        <f t="shared" si="43"/>
        <v>540</v>
      </c>
      <c r="I149" s="127">
        <v>720</v>
      </c>
      <c r="J149" s="127">
        <f t="shared" si="44"/>
        <v>7871.8780000000006</v>
      </c>
      <c r="K149" s="127">
        <v>460</v>
      </c>
      <c r="L149" s="127">
        <f t="shared" si="45"/>
        <v>2580</v>
      </c>
      <c r="M149" s="127">
        <f t="shared" si="45"/>
        <v>390</v>
      </c>
      <c r="N149" s="127">
        <f t="shared" si="45"/>
        <v>290</v>
      </c>
      <c r="O149" s="127">
        <f t="shared" si="45"/>
        <v>1390</v>
      </c>
      <c r="P149" s="178">
        <v>32255.498437568986</v>
      </c>
      <c r="Q149" s="127">
        <v>15830</v>
      </c>
      <c r="R149" s="127">
        <f t="shared" si="46"/>
        <v>6370</v>
      </c>
      <c r="S149" s="127"/>
      <c r="T149" s="127">
        <v>0</v>
      </c>
      <c r="U149" s="178">
        <v>8400</v>
      </c>
      <c r="V149" s="127">
        <v>1500</v>
      </c>
      <c r="W149" s="89">
        <v>35730</v>
      </c>
      <c r="X149" s="127">
        <v>3000</v>
      </c>
      <c r="Y149" s="127">
        <v>195</v>
      </c>
      <c r="Z149" s="179">
        <f t="shared" si="47"/>
        <v>4160</v>
      </c>
      <c r="AA149" s="123"/>
      <c r="AB149" s="124">
        <v>211</v>
      </c>
      <c r="AC149" s="124">
        <v>7</v>
      </c>
      <c r="AD149" s="180">
        <v>1.5</v>
      </c>
      <c r="AE149" s="181">
        <v>4</v>
      </c>
      <c r="AF149" s="182">
        <f t="shared" si="28"/>
        <v>1658</v>
      </c>
      <c r="AG149" s="182">
        <v>4</v>
      </c>
      <c r="AH149" s="123"/>
      <c r="AI149" s="124">
        <v>152.86966084155918</v>
      </c>
      <c r="AJ149" s="92">
        <f t="shared" si="14"/>
        <v>1200</v>
      </c>
      <c r="AK149" s="124">
        <v>130</v>
      </c>
      <c r="AL149" s="124">
        <v>1040</v>
      </c>
      <c r="AM149" s="124"/>
      <c r="AN149" s="124">
        <f t="shared" si="15"/>
        <v>154052.49591015623</v>
      </c>
      <c r="AO149" s="124">
        <f t="shared" si="16"/>
        <v>45010.498437568982</v>
      </c>
      <c r="AP149" s="166"/>
      <c r="AQ149" s="175"/>
      <c r="AR149" s="145"/>
      <c r="AS149" s="145"/>
      <c r="AT149" s="195">
        <f t="shared" si="36"/>
        <v>9.9999999999999638E-3</v>
      </c>
      <c r="AU149" s="195">
        <f t="shared" si="36"/>
        <v>8.4033613445378148E-3</v>
      </c>
      <c r="AV149" s="195">
        <f t="shared" si="36"/>
        <v>0</v>
      </c>
      <c r="AW149" s="195">
        <f t="shared" si="36"/>
        <v>9.7087378640776691E-3</v>
      </c>
      <c r="AX149" s="183">
        <f t="shared" si="49"/>
        <v>7.0869399446876216E-2</v>
      </c>
      <c r="AY149" s="183">
        <f t="shared" si="49"/>
        <v>9.6310098601720164E-3</v>
      </c>
      <c r="AZ149" s="183">
        <f t="shared" si="50"/>
        <v>5.6413522262909306E-2</v>
      </c>
      <c r="BG149" s="91"/>
      <c r="BQ149" s="172"/>
    </row>
    <row r="150" spans="1:69" ht="12" customHeight="1" outlineLevel="1">
      <c r="A150" s="49">
        <v>47331</v>
      </c>
      <c r="B150" s="49" t="s">
        <v>72</v>
      </c>
      <c r="C150" s="176">
        <f t="shared" si="20"/>
        <v>209180</v>
      </c>
      <c r="D150" s="177">
        <f t="shared" si="34"/>
        <v>205020</v>
      </c>
      <c r="E150" s="127">
        <f t="shared" si="48"/>
        <v>36920.617910156245</v>
      </c>
      <c r="F150" s="127">
        <v>26540</v>
      </c>
      <c r="G150" s="127">
        <v>13920</v>
      </c>
      <c r="H150" s="127">
        <f t="shared" si="43"/>
        <v>540</v>
      </c>
      <c r="I150" s="127">
        <v>720</v>
      </c>
      <c r="J150" s="127">
        <f t="shared" si="44"/>
        <v>7871.8780000000006</v>
      </c>
      <c r="K150" s="127">
        <v>460</v>
      </c>
      <c r="L150" s="127">
        <f t="shared" si="45"/>
        <v>2580</v>
      </c>
      <c r="M150" s="127">
        <f t="shared" si="45"/>
        <v>390</v>
      </c>
      <c r="N150" s="127">
        <f t="shared" si="45"/>
        <v>290</v>
      </c>
      <c r="O150" s="127">
        <f t="shared" si="45"/>
        <v>1390</v>
      </c>
      <c r="P150" s="178">
        <v>40726.639441375009</v>
      </c>
      <c r="Q150" s="127">
        <v>17480</v>
      </c>
      <c r="R150" s="127">
        <f t="shared" si="46"/>
        <v>6370</v>
      </c>
      <c r="S150" s="127"/>
      <c r="T150" s="127">
        <v>0</v>
      </c>
      <c r="U150" s="178">
        <v>8400</v>
      </c>
      <c r="V150" s="127">
        <v>1500</v>
      </c>
      <c r="W150" s="89">
        <v>35730</v>
      </c>
      <c r="X150" s="127">
        <v>3000</v>
      </c>
      <c r="Y150" s="127">
        <v>195</v>
      </c>
      <c r="Z150" s="179">
        <f t="shared" si="47"/>
        <v>4160</v>
      </c>
      <c r="AA150" s="123"/>
      <c r="AB150" s="124">
        <v>255</v>
      </c>
      <c r="AC150" s="124">
        <v>7</v>
      </c>
      <c r="AD150" s="180">
        <v>1.5</v>
      </c>
      <c r="AE150" s="181">
        <v>4</v>
      </c>
      <c r="AF150" s="182">
        <f t="shared" si="28"/>
        <v>1662</v>
      </c>
      <c r="AG150" s="182">
        <v>4</v>
      </c>
      <c r="AH150" s="123"/>
      <c r="AI150" s="124">
        <v>159.71231153480394</v>
      </c>
      <c r="AJ150" s="92">
        <f t="shared" si="14"/>
        <v>1200</v>
      </c>
      <c r="AK150" s="124">
        <v>130</v>
      </c>
      <c r="AL150" s="124">
        <v>1040</v>
      </c>
      <c r="AM150" s="124"/>
      <c r="AN150" s="124">
        <f t="shared" si="15"/>
        <v>155702.49591015623</v>
      </c>
      <c r="AO150" s="124">
        <f t="shared" si="16"/>
        <v>53481.639441375009</v>
      </c>
      <c r="AP150" s="109"/>
      <c r="AQ150" s="175"/>
      <c r="AR150" s="145"/>
      <c r="AS150" s="145"/>
      <c r="AT150" s="183">
        <f t="shared" si="36"/>
        <v>9.9999999999999239E-3</v>
      </c>
      <c r="AU150" s="183">
        <f t="shared" si="36"/>
        <v>8.4033613445378148E-3</v>
      </c>
      <c r="AV150" s="183">
        <f t="shared" si="36"/>
        <v>0</v>
      </c>
      <c r="AW150" s="183">
        <f t="shared" si="36"/>
        <v>9.7087378640776691E-3</v>
      </c>
      <c r="AX150" s="183">
        <f t="shared" si="49"/>
        <v>7.0139312109308197E-2</v>
      </c>
      <c r="AY150" s="183">
        <f t="shared" si="49"/>
        <v>9.689437507516838E-3</v>
      </c>
      <c r="AZ150" s="183">
        <f t="shared" si="50"/>
        <v>5.4015922604051192E-2</v>
      </c>
      <c r="BG150" s="91"/>
      <c r="BQ150" s="172"/>
    </row>
    <row r="151" spans="1:69" ht="12" customHeight="1" outlineLevel="1">
      <c r="A151" s="49">
        <v>47362</v>
      </c>
      <c r="B151" s="49" t="s">
        <v>73</v>
      </c>
      <c r="C151" s="176">
        <f t="shared" si="20"/>
        <v>227990</v>
      </c>
      <c r="D151" s="177">
        <f t="shared" si="34"/>
        <v>223830</v>
      </c>
      <c r="E151" s="127">
        <f t="shared" si="48"/>
        <v>36920.617910156245</v>
      </c>
      <c r="F151" s="127">
        <v>26540</v>
      </c>
      <c r="G151" s="127">
        <v>13920</v>
      </c>
      <c r="H151" s="127">
        <f t="shared" si="43"/>
        <v>540</v>
      </c>
      <c r="I151" s="127">
        <v>720</v>
      </c>
      <c r="J151" s="127">
        <f t="shared" si="44"/>
        <v>7871.8780000000006</v>
      </c>
      <c r="K151" s="127">
        <v>460</v>
      </c>
      <c r="L151" s="127">
        <f t="shared" si="45"/>
        <v>2580</v>
      </c>
      <c r="M151" s="127">
        <f t="shared" si="45"/>
        <v>390</v>
      </c>
      <c r="N151" s="127">
        <f t="shared" si="45"/>
        <v>290</v>
      </c>
      <c r="O151" s="127">
        <f t="shared" si="45"/>
        <v>1390</v>
      </c>
      <c r="P151" s="178">
        <v>57847.593157504001</v>
      </c>
      <c r="Q151" s="127">
        <v>19170</v>
      </c>
      <c r="R151" s="127">
        <f t="shared" si="46"/>
        <v>6370</v>
      </c>
      <c r="S151" s="127"/>
      <c r="T151" s="127">
        <v>0</v>
      </c>
      <c r="U151" s="178">
        <v>8400</v>
      </c>
      <c r="V151" s="127">
        <v>1500</v>
      </c>
      <c r="W151" s="89">
        <v>35730</v>
      </c>
      <c r="X151" s="127">
        <v>3000</v>
      </c>
      <c r="Y151" s="127">
        <v>195</v>
      </c>
      <c r="Z151" s="179">
        <f t="shared" si="47"/>
        <v>4160</v>
      </c>
      <c r="AA151" s="123"/>
      <c r="AB151" s="124">
        <v>363</v>
      </c>
      <c r="AC151" s="124">
        <v>7</v>
      </c>
      <c r="AD151" s="180">
        <v>1.5</v>
      </c>
      <c r="AE151" s="181">
        <v>4</v>
      </c>
      <c r="AF151" s="182">
        <f t="shared" si="28"/>
        <v>1666</v>
      </c>
      <c r="AG151" s="182">
        <v>4</v>
      </c>
      <c r="AH151" s="123"/>
      <c r="AI151" s="124">
        <v>159.35976076447383</v>
      </c>
      <c r="AJ151" s="92">
        <f t="shared" si="14"/>
        <v>1200</v>
      </c>
      <c r="AK151" s="124">
        <v>130</v>
      </c>
      <c r="AL151" s="124">
        <v>1040</v>
      </c>
      <c r="AM151" s="124"/>
      <c r="AN151" s="124">
        <f t="shared" si="15"/>
        <v>157392.49591015623</v>
      </c>
      <c r="AO151" s="124">
        <f t="shared" si="16"/>
        <v>70602.593157504001</v>
      </c>
      <c r="AP151" s="129"/>
      <c r="AQ151" s="175"/>
      <c r="AR151" s="145"/>
      <c r="AS151" s="145"/>
      <c r="AT151" s="183">
        <f t="shared" si="36"/>
        <v>1.0000000000000014E-2</v>
      </c>
      <c r="AU151" s="183">
        <f t="shared" si="36"/>
        <v>8.4033613445378148E-3</v>
      </c>
      <c r="AV151" s="183">
        <f t="shared" si="36"/>
        <v>0</v>
      </c>
      <c r="AW151" s="183">
        <f t="shared" si="36"/>
        <v>9.7087378640776691E-3</v>
      </c>
      <c r="AX151" s="183">
        <f t="shared" si="49"/>
        <v>6.9479297418104977E-2</v>
      </c>
      <c r="AY151" s="183">
        <f t="shared" si="49"/>
        <v>9.7647305987571802E-3</v>
      </c>
      <c r="AZ151" s="183">
        <f t="shared" si="50"/>
        <v>5.0257969412198268E-2</v>
      </c>
      <c r="BG151" s="91"/>
      <c r="BQ151" s="172"/>
    </row>
    <row r="152" spans="1:69" ht="12" customHeight="1" outlineLevel="1">
      <c r="A152" s="49">
        <v>47392</v>
      </c>
      <c r="B152" s="49" t="s">
        <v>74</v>
      </c>
      <c r="C152" s="176">
        <f t="shared" si="20"/>
        <v>234170</v>
      </c>
      <c r="D152" s="177">
        <f t="shared" si="34"/>
        <v>228970</v>
      </c>
      <c r="E152" s="127">
        <f t="shared" si="48"/>
        <v>36920.617910156245</v>
      </c>
      <c r="F152" s="127">
        <v>26540</v>
      </c>
      <c r="G152" s="127">
        <v>13920</v>
      </c>
      <c r="H152" s="127">
        <f t="shared" si="43"/>
        <v>540</v>
      </c>
      <c r="I152" s="127">
        <v>720</v>
      </c>
      <c r="J152" s="127">
        <f t="shared" si="44"/>
        <v>7871.8780000000006</v>
      </c>
      <c r="K152" s="127">
        <v>460</v>
      </c>
      <c r="L152" s="127">
        <f t="shared" si="45"/>
        <v>2580</v>
      </c>
      <c r="M152" s="127">
        <f t="shared" si="45"/>
        <v>390</v>
      </c>
      <c r="N152" s="127">
        <f t="shared" si="45"/>
        <v>290</v>
      </c>
      <c r="O152" s="127">
        <f t="shared" si="45"/>
        <v>1390</v>
      </c>
      <c r="P152" s="178">
        <v>61599.699036361009</v>
      </c>
      <c r="Q152" s="127">
        <v>20560</v>
      </c>
      <c r="R152" s="127">
        <f t="shared" si="46"/>
        <v>6370</v>
      </c>
      <c r="S152" s="127"/>
      <c r="T152" s="127">
        <v>0</v>
      </c>
      <c r="U152" s="178">
        <v>8400</v>
      </c>
      <c r="V152" s="127">
        <v>1500</v>
      </c>
      <c r="W152" s="89">
        <v>35730</v>
      </c>
      <c r="X152" s="127">
        <v>3000</v>
      </c>
      <c r="Y152" s="127">
        <v>195</v>
      </c>
      <c r="Z152" s="179">
        <f t="shared" si="47"/>
        <v>5200</v>
      </c>
      <c r="AA152" s="123"/>
      <c r="AB152" s="124">
        <v>371</v>
      </c>
      <c r="AC152" s="124">
        <v>7</v>
      </c>
      <c r="AD152" s="180">
        <v>1.5</v>
      </c>
      <c r="AE152" s="181">
        <v>5</v>
      </c>
      <c r="AF152" s="182">
        <f t="shared" si="28"/>
        <v>1671</v>
      </c>
      <c r="AG152" s="182">
        <v>5</v>
      </c>
      <c r="AH152" s="123"/>
      <c r="AI152" s="124">
        <v>166.03692462631</v>
      </c>
      <c r="AJ152" s="92">
        <f t="shared" si="14"/>
        <v>1200</v>
      </c>
      <c r="AK152" s="124">
        <v>130</v>
      </c>
      <c r="AL152" s="124">
        <v>1040</v>
      </c>
      <c r="AM152" s="124"/>
      <c r="AN152" s="124">
        <f t="shared" si="15"/>
        <v>158782.49591015623</v>
      </c>
      <c r="AO152" s="124">
        <f t="shared" si="16"/>
        <v>75394.699036361009</v>
      </c>
      <c r="AP152" s="109"/>
      <c r="AQ152" s="175"/>
      <c r="AR152" s="145"/>
      <c r="AS152" s="145"/>
      <c r="AT152" s="183">
        <f t="shared" si="36"/>
        <v>9.9999999999999482E-3</v>
      </c>
      <c r="AU152" s="183">
        <f t="shared" si="36"/>
        <v>8.4033613445378148E-3</v>
      </c>
      <c r="AV152" s="183">
        <f t="shared" si="36"/>
        <v>0</v>
      </c>
      <c r="AW152" s="183">
        <f t="shared" si="36"/>
        <v>9.7087378640776691E-3</v>
      </c>
      <c r="AX152" s="183">
        <f t="shared" si="49"/>
        <v>6.8901155855746743E-2</v>
      </c>
      <c r="AY152" s="183">
        <f t="shared" si="49"/>
        <v>9.7756640375411003E-3</v>
      </c>
      <c r="AZ152" s="183">
        <f t="shared" si="50"/>
        <v>4.9101742753460867E-2</v>
      </c>
      <c r="BG152" s="91"/>
      <c r="BQ152" s="172"/>
    </row>
    <row r="153" spans="1:69" ht="12" customHeight="1" outlineLevel="1">
      <c r="A153" s="49">
        <v>47423</v>
      </c>
      <c r="B153" s="49" t="s">
        <v>63</v>
      </c>
      <c r="C153" s="176">
        <f t="shared" si="20"/>
        <v>234300</v>
      </c>
      <c r="D153" s="177">
        <f t="shared" si="34"/>
        <v>215580</v>
      </c>
      <c r="E153" s="127">
        <f t="shared" si="48"/>
        <v>36920.617910156245</v>
      </c>
      <c r="F153" s="127">
        <v>26540</v>
      </c>
      <c r="G153" s="127">
        <v>13920</v>
      </c>
      <c r="H153" s="127">
        <f t="shared" si="43"/>
        <v>540</v>
      </c>
      <c r="I153" s="127">
        <v>720</v>
      </c>
      <c r="J153" s="127">
        <f t="shared" si="44"/>
        <v>7871.8780000000006</v>
      </c>
      <c r="K153" s="127">
        <v>460</v>
      </c>
      <c r="L153" s="127">
        <f t="shared" si="45"/>
        <v>2580</v>
      </c>
      <c r="M153" s="127">
        <f t="shared" si="45"/>
        <v>390</v>
      </c>
      <c r="N153" s="127">
        <f t="shared" si="45"/>
        <v>290</v>
      </c>
      <c r="O153" s="127">
        <f t="shared" si="45"/>
        <v>1390</v>
      </c>
      <c r="P153" s="178">
        <v>49859.916776744001</v>
      </c>
      <c r="Q153" s="127">
        <v>18910</v>
      </c>
      <c r="R153" s="127">
        <f t="shared" si="46"/>
        <v>6370</v>
      </c>
      <c r="S153" s="127"/>
      <c r="T153" s="127">
        <v>0</v>
      </c>
      <c r="U153" s="178">
        <v>8400</v>
      </c>
      <c r="V153" s="127">
        <v>1500</v>
      </c>
      <c r="W153" s="89">
        <v>35730</v>
      </c>
      <c r="X153" s="127">
        <v>3000</v>
      </c>
      <c r="Y153" s="127">
        <v>195</v>
      </c>
      <c r="Z153" s="179">
        <f t="shared" si="47"/>
        <v>18720</v>
      </c>
      <c r="AA153" s="123"/>
      <c r="AB153" s="124">
        <v>208</v>
      </c>
      <c r="AC153" s="124">
        <v>7</v>
      </c>
      <c r="AD153" s="180">
        <v>1.5</v>
      </c>
      <c r="AE153" s="181">
        <v>18</v>
      </c>
      <c r="AF153" s="182">
        <f t="shared" si="28"/>
        <v>1689</v>
      </c>
      <c r="AG153" s="182">
        <v>18</v>
      </c>
      <c r="AH153" s="123"/>
      <c r="AI153" s="124">
        <v>239.71113834973076</v>
      </c>
      <c r="AJ153" s="92">
        <f t="shared" si="14"/>
        <v>1200</v>
      </c>
      <c r="AK153" s="124">
        <v>130</v>
      </c>
      <c r="AL153" s="124">
        <v>1040</v>
      </c>
      <c r="AM153" s="124"/>
      <c r="AN153" s="124">
        <f t="shared" si="15"/>
        <v>157132.49591015623</v>
      </c>
      <c r="AO153" s="124">
        <f t="shared" si="16"/>
        <v>77174.916776744009</v>
      </c>
      <c r="AP153" s="109"/>
      <c r="AQ153" s="175"/>
      <c r="AR153" s="145"/>
      <c r="AS153" s="145"/>
      <c r="AT153" s="183">
        <f t="shared" si="36"/>
        <v>9.9999999999999551E-3</v>
      </c>
      <c r="AU153" s="183">
        <f t="shared" si="36"/>
        <v>8.4033613445378148E-3</v>
      </c>
      <c r="AV153" s="183">
        <f t="shared" si="36"/>
        <v>0</v>
      </c>
      <c r="AW153" s="183">
        <f t="shared" si="36"/>
        <v>9.7087378640776691E-3</v>
      </c>
      <c r="AX153" s="183">
        <f t="shared" si="49"/>
        <v>6.9602263425045649E-2</v>
      </c>
      <c r="AY153" s="183">
        <f t="shared" si="49"/>
        <v>9.7298225679162929E-3</v>
      </c>
      <c r="AZ153" s="183">
        <f t="shared" si="50"/>
        <v>4.9120136121434649E-2</v>
      </c>
      <c r="BG153" s="91"/>
      <c r="BQ153" s="172"/>
    </row>
    <row r="154" spans="1:69" ht="12" customHeight="1" outlineLevel="1">
      <c r="A154" s="52">
        <v>47453</v>
      </c>
      <c r="B154" s="52" t="s">
        <v>64</v>
      </c>
      <c r="C154" s="184">
        <f t="shared" si="20"/>
        <v>254350</v>
      </c>
      <c r="D154" s="185">
        <f t="shared" si="34"/>
        <v>198190</v>
      </c>
      <c r="E154" s="186">
        <f t="shared" si="48"/>
        <v>36920.617910156245</v>
      </c>
      <c r="F154" s="186">
        <v>26540</v>
      </c>
      <c r="G154" s="186">
        <v>13920</v>
      </c>
      <c r="H154" s="186">
        <f t="shared" si="43"/>
        <v>540</v>
      </c>
      <c r="I154" s="186">
        <v>720</v>
      </c>
      <c r="J154" s="186">
        <f>J153</f>
        <v>7871.8780000000006</v>
      </c>
      <c r="K154" s="186">
        <v>460</v>
      </c>
      <c r="L154" s="186">
        <f>L153</f>
        <v>2580</v>
      </c>
      <c r="M154" s="186">
        <f>M153</f>
        <v>390</v>
      </c>
      <c r="N154" s="186">
        <f>N153</f>
        <v>290</v>
      </c>
      <c r="O154" s="186">
        <f>O153</f>
        <v>1390</v>
      </c>
      <c r="P154" s="187">
        <v>38745.485496936497</v>
      </c>
      <c r="Q154" s="186">
        <v>12630</v>
      </c>
      <c r="R154" s="186">
        <f>R153</f>
        <v>6370</v>
      </c>
      <c r="S154" s="186"/>
      <c r="T154" s="186">
        <v>0</v>
      </c>
      <c r="U154" s="187">
        <v>8400</v>
      </c>
      <c r="V154" s="186">
        <v>1500</v>
      </c>
      <c r="W154" s="135">
        <v>35730</v>
      </c>
      <c r="X154" s="186">
        <v>3000</v>
      </c>
      <c r="Y154" s="186">
        <v>195</v>
      </c>
      <c r="Z154" s="188">
        <f t="shared" si="47"/>
        <v>56160</v>
      </c>
      <c r="AA154" s="137"/>
      <c r="AB154" s="137">
        <v>219</v>
      </c>
      <c r="AC154" s="137">
        <v>7</v>
      </c>
      <c r="AD154" s="189">
        <v>1.5</v>
      </c>
      <c r="AE154" s="190">
        <v>54</v>
      </c>
      <c r="AF154" s="191">
        <f t="shared" si="28"/>
        <v>1743</v>
      </c>
      <c r="AG154" s="191">
        <v>54</v>
      </c>
      <c r="AH154" s="137"/>
      <c r="AI154" s="137">
        <v>176.92002510016667</v>
      </c>
      <c r="AJ154" s="138">
        <f t="shared" si="14"/>
        <v>1200</v>
      </c>
      <c r="AK154" s="137">
        <v>130</v>
      </c>
      <c r="AL154" s="137">
        <v>1040</v>
      </c>
      <c r="AM154" s="137"/>
      <c r="AN154" s="137">
        <f t="shared" si="15"/>
        <v>150852.49591015623</v>
      </c>
      <c r="AO154" s="137">
        <f t="shared" si="16"/>
        <v>103500.4854969365</v>
      </c>
      <c r="AP154" s="150"/>
      <c r="AQ154" s="192"/>
      <c r="AR154" s="141"/>
      <c r="AS154" s="141"/>
      <c r="AT154" s="193">
        <f t="shared" si="36"/>
        <v>1.0000000000000064E-2</v>
      </c>
      <c r="AU154" s="193">
        <f t="shared" si="36"/>
        <v>8.4033613445378148E-3</v>
      </c>
      <c r="AV154" s="193">
        <f t="shared" si="36"/>
        <v>0</v>
      </c>
      <c r="AW154" s="193">
        <f t="shared" si="36"/>
        <v>9.7087378640776691E-3</v>
      </c>
      <c r="AX154" s="193">
        <f t="shared" si="49"/>
        <v>7.2253005835487938E-2</v>
      </c>
      <c r="AY154" s="193">
        <f t="shared" si="49"/>
        <v>9.6931912858815791E-3</v>
      </c>
      <c r="AZ154" s="193">
        <f t="shared" si="50"/>
        <v>4.5890044820921912E-2</v>
      </c>
      <c r="BG154" s="91"/>
      <c r="BQ154" s="172"/>
    </row>
    <row r="155" spans="1:69" ht="12" customHeight="1" outlineLevel="1">
      <c r="A155" s="49">
        <v>47484</v>
      </c>
      <c r="B155" s="49" t="s">
        <v>65</v>
      </c>
      <c r="C155" s="176">
        <f t="shared" si="20"/>
        <v>334890</v>
      </c>
      <c r="D155" s="177">
        <f t="shared" si="34"/>
        <v>199690</v>
      </c>
      <c r="E155" s="127">
        <f t="shared" si="48"/>
        <v>36920.617910156245</v>
      </c>
      <c r="F155" s="127">
        <v>26540</v>
      </c>
      <c r="G155" s="127">
        <v>13920</v>
      </c>
      <c r="H155" s="127">
        <v>550</v>
      </c>
      <c r="I155" s="127">
        <v>720</v>
      </c>
      <c r="J155" s="127">
        <f>J154*(1+3%)</f>
        <v>8108.0343400000011</v>
      </c>
      <c r="K155" s="127">
        <v>460</v>
      </c>
      <c r="L155" s="127">
        <f>ROUND(L154*(1+$B$169),-1)</f>
        <v>2600</v>
      </c>
      <c r="M155" s="127">
        <f>ROUND(M154*(1+$B$169),-1)</f>
        <v>390</v>
      </c>
      <c r="N155" s="127">
        <f>ROUND(N154*(1+$B$169),-1)</f>
        <v>290</v>
      </c>
      <c r="O155" s="127">
        <f>ROUND(O154*(1+$B$169),-1)</f>
        <v>1400</v>
      </c>
      <c r="P155" s="178">
        <v>36601.21479272248</v>
      </c>
      <c r="Q155" s="127">
        <v>15950</v>
      </c>
      <c r="R155" s="127">
        <f>ROUND(R154*(1+$B$169),-1)</f>
        <v>6420</v>
      </c>
      <c r="S155" s="127"/>
      <c r="T155" s="127">
        <v>0</v>
      </c>
      <c r="U155" s="178">
        <v>8400</v>
      </c>
      <c r="V155" s="127">
        <v>1500</v>
      </c>
      <c r="W155" s="89">
        <v>35730</v>
      </c>
      <c r="X155" s="127">
        <v>3000</v>
      </c>
      <c r="Y155" s="127">
        <v>195</v>
      </c>
      <c r="Z155" s="179">
        <f>AE155*AL155</f>
        <v>135200</v>
      </c>
      <c r="AA155" s="124"/>
      <c r="AB155" s="124">
        <v>214</v>
      </c>
      <c r="AC155" s="124">
        <v>7</v>
      </c>
      <c r="AD155" s="180">
        <v>1.5</v>
      </c>
      <c r="AE155" s="181">
        <v>130</v>
      </c>
      <c r="AF155" s="182">
        <f t="shared" si="28"/>
        <v>1873</v>
      </c>
      <c r="AG155" s="182">
        <v>130</v>
      </c>
      <c r="AH155" s="124"/>
      <c r="AI155" s="124">
        <v>171.03371398468448</v>
      </c>
      <c r="AJ155" s="92">
        <f t="shared" si="14"/>
        <v>1200</v>
      </c>
      <c r="AK155" s="124">
        <v>130</v>
      </c>
      <c r="AL155" s="124">
        <v>1040</v>
      </c>
      <c r="AM155" s="124"/>
      <c r="AN155" s="124">
        <f t="shared" si="15"/>
        <v>154498.65225015624</v>
      </c>
      <c r="AO155" s="124">
        <f t="shared" si="16"/>
        <v>180396.21479272249</v>
      </c>
      <c r="AP155" s="109"/>
      <c r="AQ155" s="175"/>
      <c r="AR155" s="145"/>
      <c r="AS155" s="145"/>
      <c r="AT155" s="183">
        <f t="shared" si="36"/>
        <v>9.999999999999936E-3</v>
      </c>
      <c r="AU155" s="183">
        <f t="shared" si="36"/>
        <v>8.4033613445378148E-3</v>
      </c>
      <c r="AV155" s="183">
        <f t="shared" si="36"/>
        <v>0</v>
      </c>
      <c r="AW155" s="183">
        <f t="shared" si="36"/>
        <v>9.7087378640776691E-3</v>
      </c>
      <c r="AX155" s="194">
        <f t="shared" si="49"/>
        <v>9.5530455974945378E-3</v>
      </c>
      <c r="AY155" s="194">
        <f t="shared" si="49"/>
        <v>9.6963571134996863E-3</v>
      </c>
      <c r="AZ155" s="194">
        <f t="shared" si="50"/>
        <v>9.6171239071450101E-3</v>
      </c>
      <c r="BG155" s="91"/>
      <c r="BQ155" s="172"/>
    </row>
    <row r="156" spans="1:69" ht="12" customHeight="1" outlineLevel="1">
      <c r="A156" s="49">
        <v>47515</v>
      </c>
      <c r="B156" s="49" t="s">
        <v>66</v>
      </c>
      <c r="C156" s="176">
        <f t="shared" si="20"/>
        <v>341480</v>
      </c>
      <c r="D156" s="177">
        <f>ROUNDDOWN(SUM(E156:Y156),-1)</f>
        <v>204980</v>
      </c>
      <c r="E156" s="127">
        <f>E155*(1+$B$167)</f>
        <v>37382.125634033197</v>
      </c>
      <c r="F156" s="127">
        <v>26870</v>
      </c>
      <c r="G156" s="127">
        <v>14090</v>
      </c>
      <c r="H156" s="127">
        <f>H155</f>
        <v>550</v>
      </c>
      <c r="I156" s="127">
        <v>730</v>
      </c>
      <c r="J156" s="127">
        <f>J155</f>
        <v>8108.0343400000011</v>
      </c>
      <c r="K156" s="127">
        <v>470</v>
      </c>
      <c r="L156" s="127">
        <f>L155</f>
        <v>2600</v>
      </c>
      <c r="M156" s="127">
        <f>M155</f>
        <v>390</v>
      </c>
      <c r="N156" s="127">
        <f>N155</f>
        <v>290</v>
      </c>
      <c r="O156" s="127">
        <f>O155</f>
        <v>1400</v>
      </c>
      <c r="P156" s="178">
        <v>38282.362103798194</v>
      </c>
      <c r="Q156" s="127">
        <v>18510</v>
      </c>
      <c r="R156" s="127">
        <f>R155</f>
        <v>6420</v>
      </c>
      <c r="S156" s="127"/>
      <c r="T156" s="127">
        <v>0</v>
      </c>
      <c r="U156" s="178">
        <v>8470</v>
      </c>
      <c r="V156" s="127">
        <v>1500</v>
      </c>
      <c r="W156" s="89">
        <v>35730</v>
      </c>
      <c r="X156" s="127">
        <v>3000</v>
      </c>
      <c r="Y156" s="127">
        <v>195</v>
      </c>
      <c r="Z156" s="179">
        <f>AE156*AL156</f>
        <v>136500</v>
      </c>
      <c r="AA156" s="123"/>
      <c r="AB156" s="124">
        <v>240</v>
      </c>
      <c r="AC156" s="124">
        <v>7</v>
      </c>
      <c r="AD156" s="180">
        <v>1.5</v>
      </c>
      <c r="AE156" s="181">
        <v>130</v>
      </c>
      <c r="AF156" s="182">
        <f t="shared" si="28"/>
        <v>2003</v>
      </c>
      <c r="AG156" s="182">
        <v>130</v>
      </c>
      <c r="AH156" s="123"/>
      <c r="AI156" s="124">
        <v>159.50984209915913</v>
      </c>
      <c r="AJ156" s="92">
        <f t="shared" si="14"/>
        <v>1210</v>
      </c>
      <c r="AK156" s="124">
        <v>130</v>
      </c>
      <c r="AL156" s="124">
        <v>1050</v>
      </c>
      <c r="AM156" s="124"/>
      <c r="AN156" s="124">
        <f t="shared" si="15"/>
        <v>158040.15997403319</v>
      </c>
      <c r="AO156" s="124">
        <f t="shared" si="16"/>
        <v>183447.36210379819</v>
      </c>
      <c r="AP156" s="63"/>
      <c r="AQ156" s="175"/>
      <c r="AR156" s="120"/>
      <c r="AS156" s="120"/>
      <c r="AT156" s="195">
        <f t="shared" si="36"/>
        <v>9.9999999999999395E-3</v>
      </c>
      <c r="AU156" s="195">
        <f t="shared" si="36"/>
        <v>8.3333333333333332E-3</v>
      </c>
      <c r="AV156" s="195">
        <f t="shared" si="36"/>
        <v>0</v>
      </c>
      <c r="AW156" s="195">
        <f t="shared" si="36"/>
        <v>9.6153846153846159E-3</v>
      </c>
      <c r="AX156" s="183">
        <f t="shared" si="49"/>
        <v>9.5026531211020396E-3</v>
      </c>
      <c r="AY156" s="183">
        <f t="shared" si="49"/>
        <v>9.6260284811482636E-3</v>
      </c>
      <c r="AZ156" s="183">
        <f t="shared" si="50"/>
        <v>9.5491500369549159E-3</v>
      </c>
      <c r="BG156" s="91"/>
      <c r="BQ156" s="172"/>
    </row>
    <row r="157" spans="1:69" ht="12" customHeight="1" outlineLevel="1">
      <c r="A157" s="49">
        <v>47543</v>
      </c>
      <c r="B157" s="49" t="s">
        <v>67</v>
      </c>
      <c r="C157" s="176">
        <f t="shared" si="20"/>
        <v>320330</v>
      </c>
      <c r="D157" s="177">
        <f t="shared" si="34"/>
        <v>206930</v>
      </c>
      <c r="E157" s="127">
        <f>E156</f>
        <v>37382.125634033197</v>
      </c>
      <c r="F157" s="127">
        <v>26870</v>
      </c>
      <c r="G157" s="127">
        <v>14090</v>
      </c>
      <c r="H157" s="127">
        <f t="shared" ref="H157:H166" si="51">H156</f>
        <v>550</v>
      </c>
      <c r="I157" s="127">
        <v>730</v>
      </c>
      <c r="J157" s="127">
        <f t="shared" ref="J157:J165" si="52">J156</f>
        <v>8108.0343400000011</v>
      </c>
      <c r="K157" s="127">
        <v>470</v>
      </c>
      <c r="L157" s="127">
        <f t="shared" ref="L157:O165" si="53">L156</f>
        <v>2600</v>
      </c>
      <c r="M157" s="127">
        <f t="shared" si="53"/>
        <v>390</v>
      </c>
      <c r="N157" s="127">
        <f t="shared" si="53"/>
        <v>290</v>
      </c>
      <c r="O157" s="127">
        <f t="shared" si="53"/>
        <v>1400</v>
      </c>
      <c r="P157" s="178">
        <v>39902.542461091602</v>
      </c>
      <c r="Q157" s="127">
        <v>18840</v>
      </c>
      <c r="R157" s="127">
        <f t="shared" ref="R157:R165" si="54">R156</f>
        <v>6420</v>
      </c>
      <c r="S157" s="127"/>
      <c r="T157" s="127">
        <v>0</v>
      </c>
      <c r="U157" s="178">
        <v>8470</v>
      </c>
      <c r="V157" s="127">
        <v>1500</v>
      </c>
      <c r="W157" s="89">
        <v>35730</v>
      </c>
      <c r="X157" s="127">
        <v>3000</v>
      </c>
      <c r="Y157" s="127">
        <v>195</v>
      </c>
      <c r="Z157" s="179">
        <f t="shared" ref="Z157:Z166" si="55">AE157*AL157</f>
        <v>113400</v>
      </c>
      <c r="AA157" s="123"/>
      <c r="AB157" s="124">
        <v>250</v>
      </c>
      <c r="AC157" s="124">
        <v>7</v>
      </c>
      <c r="AD157" s="180">
        <v>1.5</v>
      </c>
      <c r="AE157" s="181">
        <v>108</v>
      </c>
      <c r="AF157" s="182">
        <f t="shared" si="28"/>
        <v>2111</v>
      </c>
      <c r="AG157" s="182">
        <v>108</v>
      </c>
      <c r="AH157" s="123"/>
      <c r="AI157" s="124">
        <v>159.6101698443664</v>
      </c>
      <c r="AJ157" s="92">
        <f t="shared" si="14"/>
        <v>1210</v>
      </c>
      <c r="AK157" s="124">
        <v>130</v>
      </c>
      <c r="AL157" s="124">
        <v>1050</v>
      </c>
      <c r="AM157" s="124"/>
      <c r="AN157" s="124">
        <f t="shared" si="15"/>
        <v>158370.15997403319</v>
      </c>
      <c r="AO157" s="124">
        <f t="shared" si="16"/>
        <v>161967.54246109159</v>
      </c>
      <c r="AP157" s="148"/>
      <c r="AQ157" s="175"/>
      <c r="AR157" s="145"/>
      <c r="AS157" s="145"/>
      <c r="AT157" s="195">
        <f t="shared" si="36"/>
        <v>9.9999999999999794E-3</v>
      </c>
      <c r="AU157" s="195">
        <f t="shared" si="36"/>
        <v>8.3333333333333332E-3</v>
      </c>
      <c r="AV157" s="195">
        <f t="shared" si="36"/>
        <v>0</v>
      </c>
      <c r="AW157" s="195">
        <f t="shared" si="36"/>
        <v>9.6153846153846159E-3</v>
      </c>
      <c r="AX157" s="183">
        <f t="shared" si="49"/>
        <v>9.5470149511403223E-3</v>
      </c>
      <c r="AY157" s="183">
        <f t="shared" si="49"/>
        <v>9.6312860610029624E-3</v>
      </c>
      <c r="AZ157" s="183">
        <f t="shared" si="50"/>
        <v>9.5811402817611649E-3</v>
      </c>
      <c r="BG157" s="91"/>
      <c r="BQ157" s="172"/>
    </row>
    <row r="158" spans="1:69" ht="12" customHeight="1" outlineLevel="1">
      <c r="A158" s="49">
        <v>47574</v>
      </c>
      <c r="B158" s="49" t="s">
        <v>68</v>
      </c>
      <c r="C158" s="176">
        <f t="shared" si="20"/>
        <v>269000</v>
      </c>
      <c r="D158" s="177">
        <f t="shared" si="34"/>
        <v>199700</v>
      </c>
      <c r="E158" s="127">
        <f t="shared" ref="E158:E166" si="56">E157</f>
        <v>37382.125634033197</v>
      </c>
      <c r="F158" s="127">
        <v>26870</v>
      </c>
      <c r="G158" s="127">
        <v>14090</v>
      </c>
      <c r="H158" s="127">
        <f t="shared" si="51"/>
        <v>550</v>
      </c>
      <c r="I158" s="127">
        <v>730</v>
      </c>
      <c r="J158" s="127">
        <f t="shared" si="52"/>
        <v>8108.0343400000011</v>
      </c>
      <c r="K158" s="127">
        <v>470</v>
      </c>
      <c r="L158" s="127">
        <f t="shared" si="53"/>
        <v>2600</v>
      </c>
      <c r="M158" s="127">
        <f t="shared" si="53"/>
        <v>390</v>
      </c>
      <c r="N158" s="127">
        <f t="shared" si="53"/>
        <v>290</v>
      </c>
      <c r="O158" s="127">
        <f t="shared" si="53"/>
        <v>1400</v>
      </c>
      <c r="P158" s="178">
        <v>35964.302702361892</v>
      </c>
      <c r="Q158" s="127">
        <v>15550</v>
      </c>
      <c r="R158" s="127">
        <f t="shared" si="54"/>
        <v>6420</v>
      </c>
      <c r="S158" s="127"/>
      <c r="T158" s="127">
        <v>0</v>
      </c>
      <c r="U158" s="178">
        <v>8470</v>
      </c>
      <c r="V158" s="127">
        <v>1500</v>
      </c>
      <c r="W158" s="89">
        <v>35730</v>
      </c>
      <c r="X158" s="127">
        <v>3000</v>
      </c>
      <c r="Y158" s="127">
        <v>195</v>
      </c>
      <c r="Z158" s="179">
        <f t="shared" si="55"/>
        <v>69300</v>
      </c>
      <c r="AA158" s="123"/>
      <c r="AB158" s="124">
        <v>207</v>
      </c>
      <c r="AC158" s="124">
        <v>7</v>
      </c>
      <c r="AD158" s="180">
        <v>1.5</v>
      </c>
      <c r="AE158" s="181">
        <v>66</v>
      </c>
      <c r="AF158" s="182">
        <f t="shared" si="28"/>
        <v>2177</v>
      </c>
      <c r="AG158" s="182">
        <v>66</v>
      </c>
      <c r="AH158" s="123"/>
      <c r="AI158" s="124">
        <v>173.74059276503328</v>
      </c>
      <c r="AJ158" s="92">
        <f t="shared" si="14"/>
        <v>1210</v>
      </c>
      <c r="AK158" s="124">
        <v>130</v>
      </c>
      <c r="AL158" s="124">
        <v>1050</v>
      </c>
      <c r="AM158" s="124"/>
      <c r="AN158" s="124">
        <f t="shared" si="15"/>
        <v>155080.15997403319</v>
      </c>
      <c r="AO158" s="124">
        <f t="shared" si="16"/>
        <v>113929.30270236189</v>
      </c>
      <c r="AP158" s="148"/>
      <c r="AQ158" s="175"/>
      <c r="AR158" s="145"/>
      <c r="AS158" s="145"/>
      <c r="AT158" s="195">
        <f t="shared" si="36"/>
        <v>1.0000000000000031E-2</v>
      </c>
      <c r="AU158" s="195">
        <f t="shared" si="36"/>
        <v>8.3333333333333332E-3</v>
      </c>
      <c r="AV158" s="195">
        <f t="shared" si="36"/>
        <v>0</v>
      </c>
      <c r="AW158" s="195">
        <f t="shared" si="36"/>
        <v>9.6153846153846159E-3</v>
      </c>
      <c r="AX158" s="183">
        <f t="shared" si="49"/>
        <v>9.4886107353017689E-3</v>
      </c>
      <c r="AY158" s="183">
        <f t="shared" si="49"/>
        <v>9.6247005374950085E-3</v>
      </c>
      <c r="AZ158" s="183">
        <f t="shared" si="50"/>
        <v>9.5323876003903033E-3</v>
      </c>
      <c r="BG158" s="91"/>
      <c r="BQ158" s="172"/>
    </row>
    <row r="159" spans="1:69" ht="12" customHeight="1" outlineLevel="1">
      <c r="A159" s="49">
        <v>47604</v>
      </c>
      <c r="B159" s="49" t="s">
        <v>69</v>
      </c>
      <c r="C159" s="176">
        <f t="shared" si="20"/>
        <v>221850</v>
      </c>
      <c r="D159" s="177">
        <f t="shared" si="34"/>
        <v>204000</v>
      </c>
      <c r="E159" s="127">
        <f t="shared" si="56"/>
        <v>37382.125634033197</v>
      </c>
      <c r="F159" s="127">
        <v>26870</v>
      </c>
      <c r="G159" s="127">
        <v>14090</v>
      </c>
      <c r="H159" s="127">
        <f t="shared" si="51"/>
        <v>550</v>
      </c>
      <c r="I159" s="127">
        <v>730</v>
      </c>
      <c r="J159" s="127">
        <f t="shared" si="52"/>
        <v>8108.0343400000011</v>
      </c>
      <c r="K159" s="127">
        <v>470</v>
      </c>
      <c r="L159" s="127">
        <f t="shared" si="53"/>
        <v>2600</v>
      </c>
      <c r="M159" s="127">
        <f t="shared" si="53"/>
        <v>390</v>
      </c>
      <c r="N159" s="127">
        <f t="shared" si="53"/>
        <v>290</v>
      </c>
      <c r="O159" s="127">
        <f t="shared" si="53"/>
        <v>1400</v>
      </c>
      <c r="P159" s="178">
        <v>35412.312224049361</v>
      </c>
      <c r="Q159" s="127">
        <v>20400</v>
      </c>
      <c r="R159" s="127">
        <f t="shared" si="54"/>
        <v>6420</v>
      </c>
      <c r="S159" s="127"/>
      <c r="T159" s="127">
        <v>0</v>
      </c>
      <c r="U159" s="178">
        <v>8470</v>
      </c>
      <c r="V159" s="127">
        <v>1500</v>
      </c>
      <c r="W159" s="89">
        <v>35730</v>
      </c>
      <c r="X159" s="127">
        <v>3000</v>
      </c>
      <c r="Y159" s="127">
        <v>195</v>
      </c>
      <c r="Z159" s="179">
        <f t="shared" si="55"/>
        <v>17850</v>
      </c>
      <c r="AA159" s="123"/>
      <c r="AB159" s="124">
        <v>227</v>
      </c>
      <c r="AC159" s="124">
        <v>7</v>
      </c>
      <c r="AD159" s="180">
        <v>1.5</v>
      </c>
      <c r="AE159" s="181">
        <v>17</v>
      </c>
      <c r="AF159" s="182">
        <f t="shared" si="28"/>
        <v>2194</v>
      </c>
      <c r="AG159" s="182">
        <v>17</v>
      </c>
      <c r="AH159" s="123"/>
      <c r="AI159" s="124">
        <v>156.00137543634079</v>
      </c>
      <c r="AJ159" s="92">
        <f t="shared" ref="AJ159:AJ170" si="57">U159/AC159</f>
        <v>1210</v>
      </c>
      <c r="AK159" s="124">
        <v>130</v>
      </c>
      <c r="AL159" s="124">
        <v>1050</v>
      </c>
      <c r="AM159" s="124"/>
      <c r="AN159" s="124">
        <f t="shared" si="15"/>
        <v>159930.15997403319</v>
      </c>
      <c r="AO159" s="124">
        <f t="shared" si="16"/>
        <v>61927.312224049361</v>
      </c>
      <c r="AP159" s="166"/>
      <c r="AQ159" s="175"/>
      <c r="AR159" s="145"/>
      <c r="AS159" s="145"/>
      <c r="AT159" s="195">
        <f t="shared" si="36"/>
        <v>1.0000000000000068E-2</v>
      </c>
      <c r="AU159" s="195">
        <f t="shared" si="36"/>
        <v>8.3333333333333332E-3</v>
      </c>
      <c r="AV159" s="195">
        <f t="shared" si="36"/>
        <v>0</v>
      </c>
      <c r="AW159" s="195">
        <f t="shared" si="36"/>
        <v>9.6153846153846159E-3</v>
      </c>
      <c r="AX159" s="183">
        <f t="shared" si="49"/>
        <v>9.5167296488749883E-3</v>
      </c>
      <c r="AY159" s="183">
        <f t="shared" si="49"/>
        <v>9.6290964177421067E-3</v>
      </c>
      <c r="AZ159" s="183">
        <f t="shared" si="50"/>
        <v>9.5563139931740607E-3</v>
      </c>
      <c r="BG159" s="91"/>
      <c r="BQ159" s="172"/>
    </row>
    <row r="160" spans="1:69" ht="12" customHeight="1" outlineLevel="1">
      <c r="A160" s="49">
        <v>47635</v>
      </c>
      <c r="B160" s="49" t="s">
        <v>70</v>
      </c>
      <c r="C160" s="176">
        <f t="shared" si="20"/>
        <v>203830</v>
      </c>
      <c r="D160" s="177">
        <f t="shared" si="34"/>
        <v>192280</v>
      </c>
      <c r="E160" s="127">
        <f t="shared" si="56"/>
        <v>37382.125634033197</v>
      </c>
      <c r="F160" s="127">
        <v>26870</v>
      </c>
      <c r="G160" s="127">
        <v>14090</v>
      </c>
      <c r="H160" s="127">
        <f t="shared" si="51"/>
        <v>550</v>
      </c>
      <c r="I160" s="127">
        <v>730</v>
      </c>
      <c r="J160" s="127">
        <f t="shared" si="52"/>
        <v>8108.0343400000011</v>
      </c>
      <c r="K160" s="127">
        <v>470</v>
      </c>
      <c r="L160" s="127">
        <f t="shared" si="53"/>
        <v>2600</v>
      </c>
      <c r="M160" s="127">
        <f t="shared" si="53"/>
        <v>390</v>
      </c>
      <c r="N160" s="127">
        <f t="shared" si="53"/>
        <v>290</v>
      </c>
      <c r="O160" s="127">
        <f t="shared" si="53"/>
        <v>1400</v>
      </c>
      <c r="P160" s="178">
        <v>30274.554695140512</v>
      </c>
      <c r="Q160" s="127">
        <v>13820</v>
      </c>
      <c r="R160" s="127">
        <f t="shared" si="54"/>
        <v>6420</v>
      </c>
      <c r="S160" s="127"/>
      <c r="T160" s="127">
        <v>0</v>
      </c>
      <c r="U160" s="178">
        <v>8470</v>
      </c>
      <c r="V160" s="127">
        <v>1500</v>
      </c>
      <c r="W160" s="89">
        <v>35730</v>
      </c>
      <c r="X160" s="127">
        <v>3000</v>
      </c>
      <c r="Y160" s="127">
        <v>195</v>
      </c>
      <c r="Z160" s="179">
        <f t="shared" si="55"/>
        <v>11550</v>
      </c>
      <c r="AA160" s="123"/>
      <c r="AB160" s="124">
        <v>201</v>
      </c>
      <c r="AC160" s="124">
        <v>7</v>
      </c>
      <c r="AD160" s="180">
        <v>1.5</v>
      </c>
      <c r="AE160" s="181">
        <v>11</v>
      </c>
      <c r="AF160" s="182">
        <f t="shared" si="28"/>
        <v>2205</v>
      </c>
      <c r="AG160" s="182">
        <v>11</v>
      </c>
      <c r="AH160" s="123"/>
      <c r="AI160" s="124">
        <v>150.61967510020156</v>
      </c>
      <c r="AJ160" s="92">
        <f t="shared" si="57"/>
        <v>1210</v>
      </c>
      <c r="AK160" s="124">
        <v>130</v>
      </c>
      <c r="AL160" s="124">
        <v>1050</v>
      </c>
      <c r="AM160" s="124"/>
      <c r="AN160" s="124">
        <f t="shared" ref="AN160:AN208" si="58">SUM(E160:O160,Q160:R160,T160,V160:X160,BM142,BP160:BS160)</f>
        <v>153350.15997403319</v>
      </c>
      <c r="AO160" s="124">
        <f t="shared" ref="AO160:AO166" si="59">SUM(P160,S160,U160,BK142:BL142,BO160,Y160:Z160)</f>
        <v>50489.554695140512</v>
      </c>
      <c r="AP160" s="166"/>
      <c r="AQ160" s="175"/>
      <c r="AR160" s="145"/>
      <c r="AS160" s="145"/>
      <c r="AT160" s="195">
        <f t="shared" si="36"/>
        <v>1.0000000000000021E-2</v>
      </c>
      <c r="AU160" s="195">
        <f t="shared" si="36"/>
        <v>8.3333333333333332E-3</v>
      </c>
      <c r="AV160" s="195">
        <f t="shared" si="36"/>
        <v>0</v>
      </c>
      <c r="AW160" s="195">
        <f t="shared" si="36"/>
        <v>9.6153846153846159E-3</v>
      </c>
      <c r="AX160" s="183">
        <f t="shared" si="49"/>
        <v>9.530219073774741E-3</v>
      </c>
      <c r="AY160" s="183">
        <f t="shared" si="49"/>
        <v>9.5930798103054746E-3</v>
      </c>
      <c r="AZ160" s="183">
        <f t="shared" si="50"/>
        <v>9.5091872616512307E-3</v>
      </c>
      <c r="BG160" s="91"/>
      <c r="BQ160" s="172"/>
    </row>
    <row r="161" spans="1:77" ht="12" customHeight="1" outlineLevel="1">
      <c r="A161" s="49">
        <v>47665</v>
      </c>
      <c r="B161" s="49" t="s">
        <v>71</v>
      </c>
      <c r="C161" s="176">
        <f t="shared" si="20"/>
        <v>200960</v>
      </c>
      <c r="D161" s="177">
        <f t="shared" si="34"/>
        <v>196760</v>
      </c>
      <c r="E161" s="127">
        <f t="shared" si="56"/>
        <v>37382.125634033197</v>
      </c>
      <c r="F161" s="127">
        <v>26870</v>
      </c>
      <c r="G161" s="127">
        <v>14090</v>
      </c>
      <c r="H161" s="127">
        <f t="shared" si="51"/>
        <v>550</v>
      </c>
      <c r="I161" s="127">
        <v>730</v>
      </c>
      <c r="J161" s="127">
        <f t="shared" si="52"/>
        <v>8108.0343400000011</v>
      </c>
      <c r="K161" s="127">
        <v>470</v>
      </c>
      <c r="L161" s="127">
        <f t="shared" si="53"/>
        <v>2600</v>
      </c>
      <c r="M161" s="127">
        <f t="shared" si="53"/>
        <v>390</v>
      </c>
      <c r="N161" s="127">
        <f t="shared" si="53"/>
        <v>290</v>
      </c>
      <c r="O161" s="127">
        <f t="shared" si="53"/>
        <v>1400</v>
      </c>
      <c r="P161" s="178">
        <v>32578.053421944678</v>
      </c>
      <c r="Q161" s="127">
        <v>15990</v>
      </c>
      <c r="R161" s="127">
        <f t="shared" si="54"/>
        <v>6420</v>
      </c>
      <c r="S161" s="127"/>
      <c r="T161" s="127">
        <v>0</v>
      </c>
      <c r="U161" s="178">
        <v>8470</v>
      </c>
      <c r="V161" s="127">
        <v>1500</v>
      </c>
      <c r="W161" s="89">
        <v>35730</v>
      </c>
      <c r="X161" s="127">
        <v>3000</v>
      </c>
      <c r="Y161" s="127">
        <v>195</v>
      </c>
      <c r="Z161" s="179">
        <f t="shared" si="55"/>
        <v>4200</v>
      </c>
      <c r="AA161" s="123"/>
      <c r="AB161" s="124">
        <v>211</v>
      </c>
      <c r="AC161" s="124">
        <v>7</v>
      </c>
      <c r="AD161" s="180">
        <v>1.5</v>
      </c>
      <c r="AE161" s="181">
        <v>4</v>
      </c>
      <c r="AF161" s="182">
        <f t="shared" si="28"/>
        <v>2209</v>
      </c>
      <c r="AG161" s="182">
        <v>4</v>
      </c>
      <c r="AH161" s="123"/>
      <c r="AI161" s="124">
        <v>154.39835744997478</v>
      </c>
      <c r="AJ161" s="92">
        <f t="shared" si="57"/>
        <v>1210</v>
      </c>
      <c r="AK161" s="124">
        <v>130</v>
      </c>
      <c r="AL161" s="124">
        <v>1050</v>
      </c>
      <c r="AM161" s="124"/>
      <c r="AN161" s="124">
        <f t="shared" si="58"/>
        <v>155520.15997403319</v>
      </c>
      <c r="AO161" s="124">
        <f t="shared" si="59"/>
        <v>45443.053421944678</v>
      </c>
      <c r="AP161" s="166"/>
      <c r="AQ161" s="175"/>
      <c r="AR161" s="145"/>
      <c r="AS161" s="145"/>
      <c r="AT161" s="195">
        <f t="shared" si="36"/>
        <v>1.0000000000000057E-2</v>
      </c>
      <c r="AU161" s="195">
        <f t="shared" si="36"/>
        <v>8.3333333333333332E-3</v>
      </c>
      <c r="AV161" s="195">
        <f t="shared" si="36"/>
        <v>0</v>
      </c>
      <c r="AW161" s="195">
        <f t="shared" si="36"/>
        <v>9.6153846153846159E-3</v>
      </c>
      <c r="AX161" s="183">
        <f t="shared" si="49"/>
        <v>9.5270385280411523E-3</v>
      </c>
      <c r="AY161" s="183">
        <f t="shared" si="49"/>
        <v>9.6100909652370101E-3</v>
      </c>
      <c r="AZ161" s="183">
        <f t="shared" si="50"/>
        <v>9.5448608459760883E-3</v>
      </c>
      <c r="BG161" s="91"/>
      <c r="BQ161" s="172"/>
    </row>
    <row r="162" spans="1:77" ht="12" customHeight="1" outlineLevel="1">
      <c r="A162" s="49">
        <v>47696</v>
      </c>
      <c r="B162" s="49" t="s">
        <v>72</v>
      </c>
      <c r="C162" s="176">
        <f t="shared" si="20"/>
        <v>211170</v>
      </c>
      <c r="D162" s="177">
        <f t="shared" si="34"/>
        <v>206970</v>
      </c>
      <c r="E162" s="127">
        <f t="shared" si="56"/>
        <v>37382.125634033197</v>
      </c>
      <c r="F162" s="127">
        <v>26870</v>
      </c>
      <c r="G162" s="127">
        <v>14090</v>
      </c>
      <c r="H162" s="127">
        <f t="shared" si="51"/>
        <v>550</v>
      </c>
      <c r="I162" s="127">
        <v>730</v>
      </c>
      <c r="J162" s="127">
        <f t="shared" si="52"/>
        <v>8108.0343400000011</v>
      </c>
      <c r="K162" s="127">
        <v>470</v>
      </c>
      <c r="L162" s="127">
        <f t="shared" si="53"/>
        <v>2600</v>
      </c>
      <c r="M162" s="127">
        <f t="shared" si="53"/>
        <v>390</v>
      </c>
      <c r="N162" s="127">
        <f t="shared" si="53"/>
        <v>290</v>
      </c>
      <c r="O162" s="127">
        <f t="shared" si="53"/>
        <v>1400</v>
      </c>
      <c r="P162" s="178">
        <v>41133.905835788755</v>
      </c>
      <c r="Q162" s="127">
        <v>17650</v>
      </c>
      <c r="R162" s="127">
        <f t="shared" si="54"/>
        <v>6420</v>
      </c>
      <c r="S162" s="127"/>
      <c r="T162" s="127">
        <v>0</v>
      </c>
      <c r="U162" s="178">
        <v>8470</v>
      </c>
      <c r="V162" s="127">
        <v>1500</v>
      </c>
      <c r="W162" s="89">
        <v>35730</v>
      </c>
      <c r="X162" s="127">
        <v>3000</v>
      </c>
      <c r="Y162" s="127">
        <v>195</v>
      </c>
      <c r="Z162" s="179">
        <f t="shared" si="55"/>
        <v>4200</v>
      </c>
      <c r="AA162" s="123"/>
      <c r="AB162" s="124">
        <v>255</v>
      </c>
      <c r="AC162" s="124">
        <v>7</v>
      </c>
      <c r="AD162" s="180">
        <v>1.5</v>
      </c>
      <c r="AE162" s="181">
        <v>4</v>
      </c>
      <c r="AF162" s="182">
        <f t="shared" si="28"/>
        <v>2213</v>
      </c>
      <c r="AG162" s="182">
        <v>4</v>
      </c>
      <c r="AH162" s="123"/>
      <c r="AI162" s="124">
        <v>161.30943465015199</v>
      </c>
      <c r="AJ162" s="92">
        <f t="shared" si="57"/>
        <v>1210</v>
      </c>
      <c r="AK162" s="124">
        <v>130</v>
      </c>
      <c r="AL162" s="124">
        <v>1050</v>
      </c>
      <c r="AM162" s="124"/>
      <c r="AN162" s="124">
        <f t="shared" si="58"/>
        <v>157180.15997403319</v>
      </c>
      <c r="AO162" s="124">
        <f t="shared" si="59"/>
        <v>53998.905835788755</v>
      </c>
      <c r="AP162" s="109"/>
      <c r="AQ162" s="175"/>
      <c r="AR162" s="145"/>
      <c r="AS162" s="145"/>
      <c r="AT162" s="183">
        <f t="shared" si="36"/>
        <v>1.0000000000000005E-2</v>
      </c>
      <c r="AU162" s="183">
        <f t="shared" si="36"/>
        <v>8.3333333333333332E-3</v>
      </c>
      <c r="AV162" s="183">
        <f t="shared" si="36"/>
        <v>0</v>
      </c>
      <c r="AW162" s="183">
        <f t="shared" si="36"/>
        <v>9.6153846153846159E-3</v>
      </c>
      <c r="AX162" s="183">
        <f t="shared" si="49"/>
        <v>9.4903042834304022E-3</v>
      </c>
      <c r="AY162" s="183">
        <f t="shared" si="49"/>
        <v>9.6718499996762044E-3</v>
      </c>
      <c r="AZ162" s="183">
        <f t="shared" si="50"/>
        <v>9.5133377952003051E-3</v>
      </c>
      <c r="BG162" s="91"/>
      <c r="BQ162" s="172"/>
    </row>
    <row r="163" spans="1:77" ht="12" customHeight="1" outlineLevel="1">
      <c r="A163" s="49">
        <v>47727</v>
      </c>
      <c r="B163" s="49" t="s">
        <v>73</v>
      </c>
      <c r="C163" s="176">
        <f t="shared" si="20"/>
        <v>230180</v>
      </c>
      <c r="D163" s="177">
        <f t="shared" si="34"/>
        <v>225980</v>
      </c>
      <c r="E163" s="127">
        <f t="shared" si="56"/>
        <v>37382.125634033197</v>
      </c>
      <c r="F163" s="127">
        <v>26870</v>
      </c>
      <c r="G163" s="127">
        <v>14090</v>
      </c>
      <c r="H163" s="127">
        <f t="shared" si="51"/>
        <v>550</v>
      </c>
      <c r="I163" s="127">
        <v>730</v>
      </c>
      <c r="J163" s="127">
        <f t="shared" si="52"/>
        <v>8108.0343400000011</v>
      </c>
      <c r="K163" s="127">
        <v>470</v>
      </c>
      <c r="L163" s="127">
        <f t="shared" si="53"/>
        <v>2600</v>
      </c>
      <c r="M163" s="127">
        <f t="shared" si="53"/>
        <v>390</v>
      </c>
      <c r="N163" s="127">
        <f t="shared" si="53"/>
        <v>290</v>
      </c>
      <c r="O163" s="127">
        <f t="shared" si="53"/>
        <v>1400</v>
      </c>
      <c r="P163" s="178">
        <v>58426.069089079043</v>
      </c>
      <c r="Q163" s="127">
        <v>19360</v>
      </c>
      <c r="R163" s="127">
        <f t="shared" si="54"/>
        <v>6420</v>
      </c>
      <c r="S163" s="127"/>
      <c r="T163" s="127">
        <v>0</v>
      </c>
      <c r="U163" s="178">
        <v>8470</v>
      </c>
      <c r="V163" s="127">
        <v>1500</v>
      </c>
      <c r="W163" s="89">
        <v>35730</v>
      </c>
      <c r="X163" s="127">
        <v>3000</v>
      </c>
      <c r="Y163" s="127">
        <v>195</v>
      </c>
      <c r="Z163" s="179">
        <f t="shared" si="55"/>
        <v>4200</v>
      </c>
      <c r="AA163" s="123"/>
      <c r="AB163" s="124">
        <v>363</v>
      </c>
      <c r="AC163" s="124">
        <v>7</v>
      </c>
      <c r="AD163" s="180">
        <v>1.5</v>
      </c>
      <c r="AE163" s="181">
        <v>4</v>
      </c>
      <c r="AF163" s="182">
        <f t="shared" si="28"/>
        <v>2217</v>
      </c>
      <c r="AG163" s="182">
        <v>4</v>
      </c>
      <c r="AH163" s="123"/>
      <c r="AI163" s="124">
        <v>160.95335837211857</v>
      </c>
      <c r="AJ163" s="92">
        <f t="shared" si="57"/>
        <v>1210</v>
      </c>
      <c r="AK163" s="124">
        <v>130</v>
      </c>
      <c r="AL163" s="124">
        <v>1050</v>
      </c>
      <c r="AM163" s="124"/>
      <c r="AN163" s="124">
        <f t="shared" si="58"/>
        <v>158890.15997403319</v>
      </c>
      <c r="AO163" s="124">
        <f t="shared" si="59"/>
        <v>71291.069089079043</v>
      </c>
      <c r="AP163" s="129"/>
      <c r="AQ163" s="175"/>
      <c r="AR163" s="145"/>
      <c r="AS163" s="145"/>
      <c r="AT163" s="183">
        <f t="shared" ref="AT163:AW172" si="60">IFERROR((AI163-AI151)/AI151,"")</f>
        <v>1.0000000000000004E-2</v>
      </c>
      <c r="AU163" s="183">
        <f t="shared" si="60"/>
        <v>8.3333333333333332E-3</v>
      </c>
      <c r="AV163" s="183">
        <f t="shared" si="60"/>
        <v>0</v>
      </c>
      <c r="AW163" s="183">
        <f t="shared" si="60"/>
        <v>9.6153846153846159E-3</v>
      </c>
      <c r="AX163" s="183">
        <f t="shared" si="49"/>
        <v>9.5154731184380389E-3</v>
      </c>
      <c r="AY163" s="183">
        <f t="shared" si="49"/>
        <v>9.7514255608027473E-3</v>
      </c>
      <c r="AZ163" s="183">
        <f t="shared" si="50"/>
        <v>9.6056844598447298E-3</v>
      </c>
      <c r="BG163" s="91"/>
      <c r="BQ163" s="172"/>
    </row>
    <row r="164" spans="1:77" ht="12" customHeight="1" outlineLevel="1">
      <c r="A164" s="49">
        <v>47757</v>
      </c>
      <c r="B164" s="49" t="s">
        <v>74</v>
      </c>
      <c r="C164" s="176">
        <f t="shared" si="20"/>
        <v>236430</v>
      </c>
      <c r="D164" s="177">
        <f t="shared" si="34"/>
        <v>231180</v>
      </c>
      <c r="E164" s="127">
        <f t="shared" si="56"/>
        <v>37382.125634033197</v>
      </c>
      <c r="F164" s="127">
        <v>26870</v>
      </c>
      <c r="G164" s="127">
        <v>14090</v>
      </c>
      <c r="H164" s="127">
        <f t="shared" si="51"/>
        <v>550</v>
      </c>
      <c r="I164" s="127">
        <v>730</v>
      </c>
      <c r="J164" s="127">
        <f t="shared" si="52"/>
        <v>8108.0343400000011</v>
      </c>
      <c r="K164" s="127">
        <v>470</v>
      </c>
      <c r="L164" s="127">
        <f t="shared" si="53"/>
        <v>2600</v>
      </c>
      <c r="M164" s="127">
        <f t="shared" si="53"/>
        <v>390</v>
      </c>
      <c r="N164" s="127">
        <f t="shared" si="53"/>
        <v>290</v>
      </c>
      <c r="O164" s="127">
        <f t="shared" si="53"/>
        <v>1400</v>
      </c>
      <c r="P164" s="178">
        <v>62215.696026724618</v>
      </c>
      <c r="Q164" s="127">
        <v>20770</v>
      </c>
      <c r="R164" s="127">
        <f t="shared" si="54"/>
        <v>6420</v>
      </c>
      <c r="S164" s="127"/>
      <c r="T164" s="127">
        <v>0</v>
      </c>
      <c r="U164" s="178">
        <v>8470</v>
      </c>
      <c r="V164" s="127">
        <v>1500</v>
      </c>
      <c r="W164" s="89">
        <v>35730</v>
      </c>
      <c r="X164" s="127">
        <v>3000</v>
      </c>
      <c r="Y164" s="127">
        <v>195</v>
      </c>
      <c r="Z164" s="179">
        <f t="shared" si="55"/>
        <v>5250</v>
      </c>
      <c r="AA164" s="123"/>
      <c r="AB164" s="124">
        <v>371</v>
      </c>
      <c r="AC164" s="124">
        <v>7</v>
      </c>
      <c r="AD164" s="180">
        <v>1.5</v>
      </c>
      <c r="AE164" s="181">
        <v>5</v>
      </c>
      <c r="AF164" s="182">
        <f t="shared" si="28"/>
        <v>2222</v>
      </c>
      <c r="AG164" s="182">
        <v>5</v>
      </c>
      <c r="AH164" s="123"/>
      <c r="AI164" s="124">
        <v>167.69729387257308</v>
      </c>
      <c r="AJ164" s="92">
        <f t="shared" si="57"/>
        <v>1210</v>
      </c>
      <c r="AK164" s="124">
        <v>130</v>
      </c>
      <c r="AL164" s="124">
        <v>1050</v>
      </c>
      <c r="AM164" s="124"/>
      <c r="AN164" s="124">
        <f t="shared" si="58"/>
        <v>160300.15997403319</v>
      </c>
      <c r="AO164" s="124">
        <f t="shared" si="59"/>
        <v>76130.696026724618</v>
      </c>
      <c r="AP164" s="109"/>
      <c r="AQ164" s="175"/>
      <c r="AR164" s="145"/>
      <c r="AS164" s="145"/>
      <c r="AT164" s="183">
        <f t="shared" si="60"/>
        <v>9.9999999999999239E-3</v>
      </c>
      <c r="AU164" s="183">
        <f t="shared" si="60"/>
        <v>8.3333333333333332E-3</v>
      </c>
      <c r="AV164" s="183">
        <f t="shared" si="60"/>
        <v>0</v>
      </c>
      <c r="AW164" s="183">
        <f t="shared" si="60"/>
        <v>9.6153846153846159E-3</v>
      </c>
      <c r="AX164" s="183">
        <f t="shared" si="49"/>
        <v>9.5581320546548089E-3</v>
      </c>
      <c r="AY164" s="183">
        <f t="shared" si="49"/>
        <v>9.7619196013854388E-3</v>
      </c>
      <c r="AZ164" s="183">
        <f t="shared" si="50"/>
        <v>9.6511081692787284E-3</v>
      </c>
      <c r="BG164" s="91"/>
      <c r="BQ164" s="172"/>
    </row>
    <row r="165" spans="1:77" ht="12" customHeight="1" outlineLevel="1">
      <c r="A165" s="49">
        <v>47788</v>
      </c>
      <c r="B165" s="49" t="s">
        <v>63</v>
      </c>
      <c r="C165" s="176">
        <f t="shared" si="20"/>
        <v>236550</v>
      </c>
      <c r="D165" s="177">
        <f t="shared" si="34"/>
        <v>217650</v>
      </c>
      <c r="E165" s="127">
        <f t="shared" si="56"/>
        <v>37382.125634033197</v>
      </c>
      <c r="F165" s="127">
        <v>26870</v>
      </c>
      <c r="G165" s="127">
        <v>14090</v>
      </c>
      <c r="H165" s="127">
        <f t="shared" si="51"/>
        <v>550</v>
      </c>
      <c r="I165" s="127">
        <v>730</v>
      </c>
      <c r="J165" s="127">
        <f t="shared" si="52"/>
        <v>8108.0343400000011</v>
      </c>
      <c r="K165" s="127">
        <v>470</v>
      </c>
      <c r="L165" s="127">
        <f t="shared" si="53"/>
        <v>2600</v>
      </c>
      <c r="M165" s="127">
        <f t="shared" si="53"/>
        <v>390</v>
      </c>
      <c r="N165" s="127">
        <f t="shared" si="53"/>
        <v>290</v>
      </c>
      <c r="O165" s="127">
        <f t="shared" si="53"/>
        <v>1400</v>
      </c>
      <c r="P165" s="178">
        <v>50358.51594451144</v>
      </c>
      <c r="Q165" s="127">
        <v>19100</v>
      </c>
      <c r="R165" s="127">
        <f t="shared" si="54"/>
        <v>6420</v>
      </c>
      <c r="S165" s="127"/>
      <c r="T165" s="127">
        <v>0</v>
      </c>
      <c r="U165" s="178">
        <v>8470</v>
      </c>
      <c r="V165" s="127">
        <v>1500</v>
      </c>
      <c r="W165" s="89">
        <v>35730</v>
      </c>
      <c r="X165" s="127">
        <v>3000</v>
      </c>
      <c r="Y165" s="127">
        <v>195</v>
      </c>
      <c r="Z165" s="179">
        <f t="shared" si="55"/>
        <v>18900</v>
      </c>
      <c r="AA165" s="123"/>
      <c r="AB165" s="124">
        <v>208</v>
      </c>
      <c r="AC165" s="124">
        <v>7</v>
      </c>
      <c r="AD165" s="180">
        <v>1.5</v>
      </c>
      <c r="AE165" s="181">
        <v>18</v>
      </c>
      <c r="AF165" s="182">
        <f t="shared" si="28"/>
        <v>2240</v>
      </c>
      <c r="AG165" s="182">
        <v>18</v>
      </c>
      <c r="AH165" s="123"/>
      <c r="AI165" s="124">
        <v>242.10824973322806</v>
      </c>
      <c r="AJ165" s="92">
        <f t="shared" si="57"/>
        <v>1210</v>
      </c>
      <c r="AK165" s="124">
        <v>130</v>
      </c>
      <c r="AL165" s="124">
        <v>1050</v>
      </c>
      <c r="AM165" s="124"/>
      <c r="AN165" s="124">
        <f t="shared" si="58"/>
        <v>158630.15997403319</v>
      </c>
      <c r="AO165" s="124">
        <f t="shared" si="59"/>
        <v>77923.51594451144</v>
      </c>
      <c r="AP165" s="109"/>
      <c r="AQ165" s="175"/>
      <c r="AR165" s="145"/>
      <c r="AS165" s="145"/>
      <c r="AT165" s="183">
        <f t="shared" si="60"/>
        <v>9.9999999999999846E-3</v>
      </c>
      <c r="AU165" s="183">
        <f t="shared" si="60"/>
        <v>8.3333333333333332E-3</v>
      </c>
      <c r="AV165" s="183">
        <f t="shared" si="60"/>
        <v>0</v>
      </c>
      <c r="AW165" s="183">
        <f t="shared" si="60"/>
        <v>9.6153846153846159E-3</v>
      </c>
      <c r="AX165" s="183">
        <f t="shared" si="49"/>
        <v>9.5312179393706124E-3</v>
      </c>
      <c r="AY165" s="183">
        <f t="shared" si="49"/>
        <v>9.7000320704332243E-3</v>
      </c>
      <c r="AZ165" s="183">
        <f t="shared" si="50"/>
        <v>9.6030729833546727E-3</v>
      </c>
      <c r="BG165" s="91"/>
      <c r="BQ165" s="172"/>
    </row>
    <row r="166" spans="1:77" ht="12" customHeight="1" outlineLevel="1">
      <c r="A166" s="52">
        <v>47818</v>
      </c>
      <c r="B166" s="52" t="s">
        <v>64</v>
      </c>
      <c r="C166" s="184">
        <f t="shared" si="20"/>
        <v>256780</v>
      </c>
      <c r="D166" s="185">
        <f t="shared" si="34"/>
        <v>200080</v>
      </c>
      <c r="E166" s="186">
        <f t="shared" si="56"/>
        <v>37382.125634033197</v>
      </c>
      <c r="F166" s="186">
        <v>26870</v>
      </c>
      <c r="G166" s="186">
        <v>14090</v>
      </c>
      <c r="H166" s="186">
        <f t="shared" si="51"/>
        <v>550</v>
      </c>
      <c r="I166" s="186">
        <v>730</v>
      </c>
      <c r="J166" s="186">
        <f>J165</f>
        <v>8108.0343400000011</v>
      </c>
      <c r="K166" s="186">
        <v>470</v>
      </c>
      <c r="L166" s="186">
        <f>L165</f>
        <v>2600</v>
      </c>
      <c r="M166" s="186">
        <f>M165</f>
        <v>390</v>
      </c>
      <c r="N166" s="186">
        <f>N165</f>
        <v>290</v>
      </c>
      <c r="O166" s="186">
        <f>O165</f>
        <v>1400</v>
      </c>
      <c r="P166" s="187">
        <v>39132.940351905869</v>
      </c>
      <c r="Q166" s="186">
        <v>12760</v>
      </c>
      <c r="R166" s="186">
        <f>R165</f>
        <v>6420</v>
      </c>
      <c r="S166" s="186"/>
      <c r="T166" s="186">
        <v>0</v>
      </c>
      <c r="U166" s="187">
        <v>8470</v>
      </c>
      <c r="V166" s="186">
        <v>1500</v>
      </c>
      <c r="W166" s="135">
        <v>35730</v>
      </c>
      <c r="X166" s="186">
        <v>3000</v>
      </c>
      <c r="Y166" s="186">
        <v>195</v>
      </c>
      <c r="Z166" s="188">
        <f t="shared" si="55"/>
        <v>56700</v>
      </c>
      <c r="AA166" s="137"/>
      <c r="AB166" s="137">
        <v>219</v>
      </c>
      <c r="AC166" s="137">
        <v>7</v>
      </c>
      <c r="AD166" s="189">
        <v>1.5</v>
      </c>
      <c r="AE166" s="190">
        <v>54</v>
      </c>
      <c r="AF166" s="191">
        <f t="shared" si="28"/>
        <v>2294</v>
      </c>
      <c r="AG166" s="191">
        <v>54</v>
      </c>
      <c r="AH166" s="137"/>
      <c r="AI166" s="137">
        <v>178.68922535116835</v>
      </c>
      <c r="AJ166" s="138">
        <f t="shared" si="57"/>
        <v>1210</v>
      </c>
      <c r="AK166" s="137">
        <v>130</v>
      </c>
      <c r="AL166" s="137">
        <v>1050</v>
      </c>
      <c r="AM166" s="137"/>
      <c r="AN166" s="137">
        <f t="shared" si="58"/>
        <v>152290.15997403319</v>
      </c>
      <c r="AO166" s="137">
        <f t="shared" si="59"/>
        <v>104497.94035190587</v>
      </c>
      <c r="AP166" s="150"/>
      <c r="AQ166" s="192"/>
      <c r="AR166" s="141"/>
      <c r="AS166" s="141"/>
      <c r="AT166" s="193">
        <f t="shared" si="60"/>
        <v>1.0000000000000063E-2</v>
      </c>
      <c r="AU166" s="193">
        <f t="shared" si="60"/>
        <v>8.3333333333333332E-3</v>
      </c>
      <c r="AV166" s="193">
        <f t="shared" si="60"/>
        <v>0</v>
      </c>
      <c r="AW166" s="193">
        <f t="shared" si="60"/>
        <v>9.6153846153846159E-3</v>
      </c>
      <c r="AX166" s="193">
        <f t="shared" si="49"/>
        <v>9.5302636870734665E-3</v>
      </c>
      <c r="AY166" s="193">
        <f t="shared" si="49"/>
        <v>9.6371997694532103E-3</v>
      </c>
      <c r="AZ166" s="193">
        <f t="shared" si="50"/>
        <v>9.5537644977393352E-3</v>
      </c>
      <c r="BG166" s="91"/>
      <c r="BQ166" s="172"/>
    </row>
    <row r="167" spans="1:77" ht="12" customHeight="1" outlineLevel="1">
      <c r="A167" s="49"/>
      <c r="B167" s="196">
        <v>1.2500000000000001E-2</v>
      </c>
      <c r="C167" s="197"/>
      <c r="D167" s="197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7"/>
      <c r="Q167" s="198"/>
      <c r="R167" s="198"/>
      <c r="S167" s="198"/>
      <c r="T167" s="198"/>
      <c r="U167" s="197"/>
      <c r="V167" s="198"/>
      <c r="W167" s="89"/>
      <c r="X167" s="198"/>
      <c r="Y167" s="198"/>
      <c r="Z167" s="197"/>
      <c r="AA167" s="124"/>
      <c r="AB167" s="124"/>
      <c r="AC167" s="124"/>
      <c r="AD167" s="180"/>
      <c r="AE167" s="198"/>
      <c r="AF167" s="124"/>
      <c r="AG167" s="124"/>
      <c r="AH167" s="124"/>
      <c r="AI167" s="124"/>
      <c r="AJ167" s="92" t="e">
        <f t="shared" si="57"/>
        <v>#DIV/0!</v>
      </c>
      <c r="AK167" s="124"/>
      <c r="AM167" s="199" t="s">
        <v>88</v>
      </c>
      <c r="AN167" s="31">
        <f>AVERAGE(AN6:AN51)</f>
        <v>105772.76718092566</v>
      </c>
      <c r="AO167" s="31">
        <f>AVERAGE(AO6:AO51)</f>
        <v>58500</v>
      </c>
      <c r="AP167" s="200">
        <f>SUM(AN167:AO167)</f>
        <v>164272.76718092564</v>
      </c>
      <c r="AQ167" s="175"/>
      <c r="AR167" s="145"/>
      <c r="AS167" s="145"/>
      <c r="AT167" s="201"/>
      <c r="AU167" s="201"/>
      <c r="AV167" s="201"/>
      <c r="AW167" s="201"/>
      <c r="AX167" s="202"/>
      <c r="AY167" s="202"/>
      <c r="AZ167" s="202"/>
      <c r="BG167" s="91"/>
      <c r="BQ167" s="203"/>
    </row>
    <row r="168" spans="1:77" ht="12" customHeight="1" outlineLevel="1">
      <c r="A168" s="49"/>
      <c r="B168" s="196">
        <v>0.01</v>
      </c>
      <c r="C168" s="197"/>
      <c r="D168" s="197"/>
      <c r="E168" s="204">
        <f>E96/E95-1</f>
        <v>0.12806158152554237</v>
      </c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7"/>
      <c r="Q168" s="198"/>
      <c r="R168" s="198"/>
      <c r="S168" s="198"/>
      <c r="T168" s="198"/>
      <c r="U168" s="197"/>
      <c r="V168" s="198"/>
      <c r="W168" s="89"/>
      <c r="X168" s="198"/>
      <c r="Y168" s="198"/>
      <c r="Z168" s="197"/>
      <c r="AA168" s="124"/>
      <c r="AB168" s="124"/>
      <c r="AC168" s="124"/>
      <c r="AD168" s="180"/>
      <c r="AE168" s="198"/>
      <c r="AF168" s="124"/>
      <c r="AG168" s="124"/>
      <c r="AH168" s="124"/>
      <c r="AI168" s="124"/>
      <c r="AJ168" s="92" t="e">
        <f t="shared" si="57"/>
        <v>#DIV/0!</v>
      </c>
      <c r="AK168" s="124"/>
      <c r="AL168" s="245" t="s">
        <v>128</v>
      </c>
      <c r="AM168" s="199" t="s">
        <v>89</v>
      </c>
      <c r="AN168" s="31">
        <v>95634</v>
      </c>
      <c r="AO168" s="31">
        <f>63916+12487</f>
        <v>76403</v>
      </c>
      <c r="AP168" s="200">
        <f>SUM(AN168:AO168)</f>
        <v>172037</v>
      </c>
      <c r="AQ168" s="175"/>
      <c r="AR168" s="145"/>
      <c r="AS168" s="145"/>
      <c r="AT168" s="201"/>
      <c r="AU168" s="201"/>
      <c r="AV168" s="201"/>
      <c r="AW168" s="201"/>
      <c r="AX168" s="183"/>
      <c r="AY168" s="183"/>
      <c r="AZ168" s="183"/>
      <c r="BG168" s="91"/>
      <c r="BQ168" s="203"/>
    </row>
    <row r="169" spans="1:77" ht="12" customHeight="1" outlineLevel="1">
      <c r="A169" s="49"/>
      <c r="B169" s="196">
        <v>7.4999999999999997E-3</v>
      </c>
      <c r="C169" s="197"/>
      <c r="D169" s="197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7"/>
      <c r="Q169" s="198"/>
      <c r="R169" s="198"/>
      <c r="S169" s="198"/>
      <c r="T169" s="198"/>
      <c r="U169" s="197"/>
      <c r="V169" s="198"/>
      <c r="W169" s="89"/>
      <c r="X169" s="198"/>
      <c r="Y169" s="198"/>
      <c r="Z169" s="197"/>
      <c r="AA169" s="124"/>
      <c r="AB169" s="124"/>
      <c r="AC169" s="124"/>
      <c r="AD169" s="180"/>
      <c r="AE169" s="198"/>
      <c r="AF169" s="124"/>
      <c r="AG169" s="124"/>
      <c r="AH169" s="124"/>
      <c r="AI169" s="124"/>
      <c r="AJ169" s="92" t="e">
        <f t="shared" si="57"/>
        <v>#DIV/0!</v>
      </c>
      <c r="AK169" s="124"/>
      <c r="AM169" s="199"/>
      <c r="AN169" s="31">
        <f>AVERAGE(AN60:AN71,AN72:AN83,AN84:AN92)</f>
        <v>111445.0809685212</v>
      </c>
      <c r="AO169" s="31">
        <f>AVERAGE(AO60:AO71,AO72:AO83,AO84:AO92)</f>
        <v>78221.517594384452</v>
      </c>
      <c r="AP169" s="200">
        <f>SUM(AN169:AO169)</f>
        <v>189666.59856290565</v>
      </c>
      <c r="AQ169" s="175"/>
      <c r="AR169" s="145"/>
      <c r="AS169" s="145"/>
      <c r="AT169" s="201"/>
      <c r="AU169" s="201"/>
      <c r="AV169" s="201"/>
      <c r="AW169" s="201"/>
      <c r="AX169" s="183"/>
      <c r="AY169" s="183"/>
      <c r="AZ169" s="183"/>
      <c r="BG169" s="91"/>
      <c r="BQ169" s="203"/>
    </row>
    <row r="170" spans="1:77" ht="12" customHeight="1">
      <c r="A170" s="199"/>
      <c r="D170" s="89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"/>
      <c r="AB170" s="64"/>
      <c r="AC170" s="64"/>
      <c r="AD170" s="64"/>
      <c r="AE170" s="64"/>
      <c r="AF170" s="64"/>
      <c r="AG170" s="64"/>
      <c r="AH170" s="6"/>
      <c r="AI170" s="6"/>
      <c r="AJ170" s="6"/>
      <c r="AK170" s="6"/>
      <c r="AL170" s="6"/>
      <c r="AM170" s="6"/>
      <c r="AN170" s="6"/>
      <c r="AO170" s="6"/>
      <c r="AP170" s="6"/>
      <c r="AQ170" s="126"/>
      <c r="AR170" s="126"/>
      <c r="AS170" s="126"/>
      <c r="AT170" s="205"/>
      <c r="AU170" s="205"/>
      <c r="AV170" s="205"/>
      <c r="AW170" s="205"/>
      <c r="AX170" s="202"/>
      <c r="AY170" s="202"/>
      <c r="AZ170" s="202"/>
      <c r="BA170" s="51"/>
      <c r="BK170" s="96"/>
      <c r="BL170" s="97"/>
      <c r="BM170" s="97"/>
      <c r="BN170" s="96"/>
      <c r="BO170" s="96"/>
      <c r="BP170" s="97"/>
      <c r="BQ170" s="97"/>
      <c r="BR170" s="97"/>
      <c r="BS170" s="97"/>
      <c r="BU170" s="113"/>
      <c r="BV170" s="113"/>
      <c r="BW170" s="113"/>
      <c r="BX170" s="113"/>
      <c r="BY170" s="113"/>
    </row>
    <row r="171" spans="1:77" ht="12" customHeight="1">
      <c r="A171" s="199"/>
      <c r="B171" s="206">
        <v>43465</v>
      </c>
      <c r="C171" s="207">
        <f>AVERAGE(C4:C14)</f>
        <v>147950</v>
      </c>
      <c r="D171" s="208">
        <f t="shared" ref="D171:AO171" si="61">AVERAGE(D4:D14)</f>
        <v>145328.88888888888</v>
      </c>
      <c r="E171" s="209">
        <f t="shared" si="61"/>
        <v>33540.666666666664</v>
      </c>
      <c r="F171" s="209">
        <f t="shared" si="61"/>
        <v>26143.333333333332</v>
      </c>
      <c r="G171" s="209">
        <f t="shared" si="61"/>
        <v>8745.5555555555547</v>
      </c>
      <c r="H171" s="209">
        <f t="shared" si="61"/>
        <v>620</v>
      </c>
      <c r="I171" s="209">
        <f t="shared" si="61"/>
        <v>4154.4444444444443</v>
      </c>
      <c r="J171" s="209">
        <f t="shared" si="61"/>
        <v>9617.7777777777774</v>
      </c>
      <c r="K171" s="209">
        <f t="shared" si="61"/>
        <v>490</v>
      </c>
      <c r="L171" s="209">
        <f t="shared" si="61"/>
        <v>690</v>
      </c>
      <c r="M171" s="209">
        <f t="shared" si="61"/>
        <v>220</v>
      </c>
      <c r="N171" s="209"/>
      <c r="O171" s="209">
        <f t="shared" si="61"/>
        <v>1280</v>
      </c>
      <c r="P171" s="207">
        <f t="shared" si="61"/>
        <v>17525.555555555555</v>
      </c>
      <c r="Q171" s="209">
        <f t="shared" si="61"/>
        <v>1516.6666666666667</v>
      </c>
      <c r="R171" s="209">
        <f t="shared" si="61"/>
        <v>1272.2222222222222</v>
      </c>
      <c r="S171" s="209">
        <f t="shared" si="61"/>
        <v>2500</v>
      </c>
      <c r="T171" s="209">
        <f t="shared" si="61"/>
        <v>-3073.75</v>
      </c>
      <c r="U171" s="207">
        <f t="shared" si="61"/>
        <v>8183.333333333333</v>
      </c>
      <c r="V171" s="209">
        <f t="shared" si="61"/>
        <v>-860</v>
      </c>
      <c r="W171" s="209">
        <f t="shared" si="61"/>
        <v>9607.9</v>
      </c>
      <c r="X171" s="209"/>
      <c r="Y171" s="209"/>
      <c r="Z171" s="207">
        <f t="shared" si="61"/>
        <v>2621.1111111111113</v>
      </c>
      <c r="AA171" s="89"/>
      <c r="AB171" s="209">
        <f t="shared" si="61"/>
        <v>204.66666666666666</v>
      </c>
      <c r="AC171" s="209">
        <f t="shared" si="61"/>
        <v>8.7777777777777786</v>
      </c>
      <c r="AD171" s="210"/>
      <c r="AE171" s="207">
        <f t="shared" si="61"/>
        <v>3.9935800000000001</v>
      </c>
      <c r="AF171" s="209">
        <f t="shared" si="61"/>
        <v>4.4000000000000004</v>
      </c>
      <c r="AG171" s="209">
        <f t="shared" si="61"/>
        <v>4</v>
      </c>
      <c r="AH171" s="211"/>
      <c r="AI171" s="209">
        <f t="shared" si="61"/>
        <v>82.471880673889544</v>
      </c>
      <c r="AJ171" s="209">
        <f t="shared" si="61"/>
        <v>937.36988936988928</v>
      </c>
      <c r="AK171" s="209"/>
      <c r="AL171" s="209">
        <f t="shared" si="61"/>
        <v>662.36095835091908</v>
      </c>
      <c r="AM171" s="211"/>
      <c r="AN171" s="89">
        <f t="shared" si="61"/>
        <v>96434</v>
      </c>
      <c r="AO171" s="89">
        <f t="shared" si="61"/>
        <v>51516.666666666664</v>
      </c>
      <c r="AP171" s="212" t="s">
        <v>90</v>
      </c>
      <c r="AQ171" s="126"/>
      <c r="AR171" s="213" t="s">
        <v>91</v>
      </c>
      <c r="AS171" s="126"/>
      <c r="AT171" s="205"/>
      <c r="AU171" s="214" t="s">
        <v>92</v>
      </c>
      <c r="AV171" s="205"/>
      <c r="AW171" s="205"/>
      <c r="AX171" s="202"/>
      <c r="AY171" s="202"/>
      <c r="AZ171" s="202"/>
      <c r="BA171" s="51"/>
      <c r="BK171" s="96"/>
      <c r="BL171" s="97"/>
      <c r="BM171" s="97"/>
      <c r="BN171" s="96"/>
      <c r="BO171" s="96"/>
      <c r="BP171" s="97"/>
      <c r="BQ171" s="97"/>
      <c r="BR171" s="97"/>
      <c r="BS171" s="97"/>
      <c r="BU171" s="113"/>
      <c r="BV171" s="113"/>
      <c r="BW171" s="113"/>
      <c r="BX171" s="113"/>
      <c r="BY171" s="113"/>
    </row>
    <row r="172" spans="1:77" ht="12" customHeight="1">
      <c r="A172" s="215">
        <f>C172/C171-1</f>
        <v>0.11572603356989974</v>
      </c>
      <c r="B172" s="206">
        <f>B171+365</f>
        <v>43830</v>
      </c>
      <c r="C172" s="207">
        <f>AVERAGE(C15:C26)</f>
        <v>165071.66666666666</v>
      </c>
      <c r="D172" s="208">
        <f t="shared" ref="D172:AO172" si="62">AVERAGE(D15:D26)</f>
        <v>162843.33333333334</v>
      </c>
      <c r="E172" s="209">
        <f t="shared" si="62"/>
        <v>33627.5</v>
      </c>
      <c r="F172" s="209">
        <f t="shared" si="62"/>
        <v>29575.833333333332</v>
      </c>
      <c r="G172" s="209">
        <f t="shared" si="62"/>
        <v>9941.6666666666661</v>
      </c>
      <c r="H172" s="209">
        <f t="shared" si="62"/>
        <v>620</v>
      </c>
      <c r="I172" s="209">
        <f t="shared" si="62"/>
        <v>4143.333333333333</v>
      </c>
      <c r="J172" s="209">
        <f t="shared" si="62"/>
        <v>9610</v>
      </c>
      <c r="K172" s="209">
        <f t="shared" si="62"/>
        <v>490</v>
      </c>
      <c r="L172" s="209">
        <f t="shared" si="62"/>
        <v>707.5</v>
      </c>
      <c r="M172" s="209">
        <f t="shared" si="62"/>
        <v>220</v>
      </c>
      <c r="N172" s="209"/>
      <c r="O172" s="209">
        <f t="shared" si="62"/>
        <v>1280</v>
      </c>
      <c r="P172" s="207">
        <f t="shared" si="62"/>
        <v>15203.333333333334</v>
      </c>
      <c r="Q172" s="209">
        <f t="shared" si="62"/>
        <v>1446.6666666666667</v>
      </c>
      <c r="R172" s="209">
        <f t="shared" si="62"/>
        <v>1247.5</v>
      </c>
      <c r="S172" s="209">
        <f t="shared" si="62"/>
        <v>2500</v>
      </c>
      <c r="T172" s="209">
        <f t="shared" si="62"/>
        <v>-2606.3636363636365</v>
      </c>
      <c r="U172" s="207">
        <f t="shared" si="62"/>
        <v>5478.333333333333</v>
      </c>
      <c r="V172" s="209">
        <f t="shared" si="62"/>
        <v>-11.818181818181818</v>
      </c>
      <c r="W172" s="209">
        <f t="shared" si="62"/>
        <v>12035</v>
      </c>
      <c r="X172" s="209"/>
      <c r="Y172" s="209"/>
      <c r="Z172" s="207">
        <f t="shared" si="62"/>
        <v>2228.3333333333335</v>
      </c>
      <c r="AA172" s="89"/>
      <c r="AB172" s="209">
        <f t="shared" si="62"/>
        <v>176.25</v>
      </c>
      <c r="AC172" s="209">
        <f t="shared" si="62"/>
        <v>5.833333333333333</v>
      </c>
      <c r="AD172" s="210"/>
      <c r="AE172" s="207">
        <f t="shared" si="62"/>
        <v>3.3960299999999997</v>
      </c>
      <c r="AF172" s="209">
        <f t="shared" si="62"/>
        <v>24.833333333333332</v>
      </c>
      <c r="AG172" s="209">
        <f t="shared" si="62"/>
        <v>3.5</v>
      </c>
      <c r="AH172" s="211">
        <f>AI172/AI171-1</f>
        <v>1.4305556808646092E-2</v>
      </c>
      <c r="AI172" s="209">
        <f t="shared" si="62"/>
        <v>83.651686847985744</v>
      </c>
      <c r="AJ172" s="209">
        <f t="shared" si="62"/>
        <v>705.72916666666663</v>
      </c>
      <c r="AK172" s="209"/>
      <c r="AL172" s="209">
        <f t="shared" si="62"/>
        <v>665.15433781207673</v>
      </c>
      <c r="AM172" s="211">
        <f t="shared" ref="AM172:AM183" si="63">AL172/AL171-1</f>
        <v>4.217306932027487E-3</v>
      </c>
      <c r="AN172" s="89">
        <f t="shared" si="62"/>
        <v>103407.5</v>
      </c>
      <c r="AO172" s="89">
        <f t="shared" si="62"/>
        <v>61664.166666666664</v>
      </c>
      <c r="AP172" s="216">
        <f t="shared" ref="AP172:AQ183" si="64">AN172/AN171-1</f>
        <v>7.2313706783914355E-2</v>
      </c>
      <c r="AQ172" s="216">
        <f t="shared" si="64"/>
        <v>0.19697508896797156</v>
      </c>
      <c r="AR172" s="216">
        <f>(AN172/$AN$171)^(1/COUNTA($B171:$B$171))-1</f>
        <v>7.2313706783914355E-2</v>
      </c>
      <c r="AS172" s="216"/>
      <c r="AT172" s="216">
        <f>(AO172/$AO$171)^(1/COUNTA($B171:$B$171))-1</f>
        <v>0.19697508896797156</v>
      </c>
      <c r="AU172" s="205"/>
      <c r="AV172" s="205"/>
      <c r="AW172" s="205"/>
      <c r="AX172" s="202"/>
      <c r="AY172" s="202"/>
      <c r="AZ172" s="202"/>
      <c r="BA172" s="51"/>
      <c r="BK172" s="96"/>
      <c r="BL172" s="97"/>
      <c r="BM172" s="97"/>
      <c r="BN172" s="96"/>
      <c r="BO172" s="96"/>
      <c r="BP172" s="97"/>
      <c r="BQ172" s="97"/>
      <c r="BR172" s="97"/>
      <c r="BS172" s="97"/>
      <c r="BU172" s="113"/>
      <c r="BV172" s="113"/>
      <c r="BW172" s="113"/>
      <c r="BX172" s="113"/>
      <c r="BY172" s="113"/>
    </row>
    <row r="173" spans="1:77" ht="12" customHeight="1">
      <c r="A173" s="215">
        <f>C173/C172-1</f>
        <v>4.5687226760094291E-2</v>
      </c>
      <c r="B173" s="206">
        <f>B172+366</f>
        <v>44196</v>
      </c>
      <c r="C173" s="207">
        <f>AVERAGE(C27:C38)</f>
        <v>172613.33333333334</v>
      </c>
      <c r="D173" s="208">
        <f t="shared" ref="D173:AO173" si="65">AVERAGE(D27:D38)</f>
        <v>169304.16666666666</v>
      </c>
      <c r="E173" s="209">
        <f t="shared" si="65"/>
        <v>34915</v>
      </c>
      <c r="F173" s="209">
        <f t="shared" si="65"/>
        <v>30724.166666666668</v>
      </c>
      <c r="G173" s="209">
        <f t="shared" si="65"/>
        <v>10365</v>
      </c>
      <c r="H173" s="209">
        <f t="shared" si="65"/>
        <v>650</v>
      </c>
      <c r="I173" s="209">
        <f t="shared" si="65"/>
        <v>4129.166666666667</v>
      </c>
      <c r="J173" s="209">
        <f t="shared" si="65"/>
        <v>9610</v>
      </c>
      <c r="K173" s="209">
        <f t="shared" si="65"/>
        <v>490</v>
      </c>
      <c r="L173" s="209">
        <f t="shared" si="65"/>
        <v>752.5</v>
      </c>
      <c r="M173" s="209">
        <f t="shared" si="65"/>
        <v>220</v>
      </c>
      <c r="N173" s="209"/>
      <c r="O173" s="209">
        <f t="shared" si="65"/>
        <v>1280</v>
      </c>
      <c r="P173" s="207">
        <f t="shared" si="65"/>
        <v>17399.166666666668</v>
      </c>
      <c r="Q173" s="209">
        <f t="shared" si="65"/>
        <v>1500.8333333333333</v>
      </c>
      <c r="R173" s="209">
        <f t="shared" si="65"/>
        <v>1193.3333333333333</v>
      </c>
      <c r="S173" s="209">
        <f t="shared" si="65"/>
        <v>2500</v>
      </c>
      <c r="T173" s="209">
        <f t="shared" si="65"/>
        <v>-2226.6666666666665</v>
      </c>
      <c r="U173" s="207">
        <f t="shared" si="65"/>
        <v>9723.3333333333339</v>
      </c>
      <c r="V173" s="209">
        <f t="shared" si="65"/>
        <v>174.54545454545453</v>
      </c>
      <c r="W173" s="209">
        <f t="shared" si="65"/>
        <v>12170</v>
      </c>
      <c r="X173" s="209"/>
      <c r="Y173" s="209"/>
      <c r="Z173" s="207">
        <f t="shared" si="65"/>
        <v>3309.1666666666665</v>
      </c>
      <c r="AA173" s="89"/>
      <c r="AB173" s="209">
        <f t="shared" si="65"/>
        <v>195.08333333333334</v>
      </c>
      <c r="AC173" s="209">
        <f t="shared" si="65"/>
        <v>10.5</v>
      </c>
      <c r="AD173" s="210"/>
      <c r="AE173" s="207">
        <f t="shared" si="65"/>
        <v>6.6568499999999995</v>
      </c>
      <c r="AF173" s="209">
        <f t="shared" si="65"/>
        <v>55.5</v>
      </c>
      <c r="AG173" s="209">
        <f t="shared" si="65"/>
        <v>6.666666666666667</v>
      </c>
      <c r="AH173" s="211">
        <f>AI173/AI172-1</f>
        <v>4.9879531150132772E-2</v>
      </c>
      <c r="AI173" s="209">
        <f t="shared" si="65"/>
        <v>87.824193767880999</v>
      </c>
      <c r="AJ173" s="209">
        <f t="shared" si="65"/>
        <v>921.51165038665033</v>
      </c>
      <c r="AK173" s="209"/>
      <c r="AL173" s="209">
        <f t="shared" si="65"/>
        <v>507.91960143083571</v>
      </c>
      <c r="AM173" s="211">
        <f t="shared" si="63"/>
        <v>-0.23638834995565183</v>
      </c>
      <c r="AN173" s="89">
        <f t="shared" si="65"/>
        <v>105861.66666666667</v>
      </c>
      <c r="AO173" s="89">
        <f t="shared" si="65"/>
        <v>66751.666666666672</v>
      </c>
      <c r="AP173" s="216">
        <f t="shared" si="64"/>
        <v>2.3732965855152388E-2</v>
      </c>
      <c r="AQ173" s="216">
        <f t="shared" si="64"/>
        <v>8.2503344730191941E-2</v>
      </c>
      <c r="AR173" s="216">
        <f>(AN173/$AN$171)^(1/COUNTA($B$171:$B172))-1</f>
        <v>4.7741805681642546E-2</v>
      </c>
      <c r="AS173" s="216"/>
      <c r="AT173" s="216">
        <f>(AO173/$AO$171)^(1/COUNTA($B$171:$B172))-1</f>
        <v>0.13830116285917415</v>
      </c>
      <c r="AU173" s="205"/>
      <c r="AV173" s="205"/>
      <c r="AW173" s="205"/>
      <c r="AX173" s="202"/>
      <c r="AY173" s="202"/>
      <c r="AZ173" s="202"/>
      <c r="BA173" s="51"/>
      <c r="BK173" s="96"/>
      <c r="BL173" s="97"/>
      <c r="BM173" s="97"/>
      <c r="BN173" s="96"/>
      <c r="BO173" s="96"/>
      <c r="BP173" s="97"/>
      <c r="BQ173" s="97"/>
      <c r="BR173" s="97"/>
      <c r="BS173" s="97"/>
      <c r="BU173" s="113"/>
      <c r="BV173" s="113"/>
      <c r="BW173" s="113"/>
      <c r="BX173" s="113"/>
      <c r="BY173" s="113"/>
    </row>
    <row r="174" spans="1:77" ht="12" customHeight="1">
      <c r="A174" s="215">
        <f>C174/C173-1</f>
        <v>-1.9214429167311309E-3</v>
      </c>
      <c r="B174" s="206">
        <f>B173+365</f>
        <v>44561</v>
      </c>
      <c r="C174" s="207">
        <f>AVERAGE(C39:C50)</f>
        <v>172281.66666666666</v>
      </c>
      <c r="D174" s="208">
        <f t="shared" ref="D174:AO174" si="66">AVERAGE(D39:D50)</f>
        <v>169162.5</v>
      </c>
      <c r="E174" s="209">
        <f t="shared" si="66"/>
        <v>36816.666666666664</v>
      </c>
      <c r="F174" s="209">
        <f t="shared" si="66"/>
        <v>31302.5</v>
      </c>
      <c r="G174" s="209">
        <f t="shared" si="66"/>
        <v>10794.166666666666</v>
      </c>
      <c r="H174" s="209">
        <f t="shared" si="66"/>
        <v>660</v>
      </c>
      <c r="I174" s="209">
        <f t="shared" si="66"/>
        <v>4108.333333333333</v>
      </c>
      <c r="J174" s="209">
        <f t="shared" si="66"/>
        <v>9610</v>
      </c>
      <c r="K174" s="209">
        <f t="shared" si="66"/>
        <v>490</v>
      </c>
      <c r="L174" s="209">
        <f t="shared" si="66"/>
        <v>1674.1666666666667</v>
      </c>
      <c r="M174" s="209">
        <f t="shared" si="66"/>
        <v>220</v>
      </c>
      <c r="N174" s="209"/>
      <c r="O174" s="209">
        <f t="shared" si="66"/>
        <v>1280</v>
      </c>
      <c r="P174" s="207">
        <f t="shared" si="66"/>
        <v>15491.666666666666</v>
      </c>
      <c r="Q174" s="209">
        <f t="shared" si="66"/>
        <v>1530</v>
      </c>
      <c r="R174" s="209">
        <f t="shared" si="66"/>
        <v>1220</v>
      </c>
      <c r="S174" s="209"/>
      <c r="T174" s="209">
        <f t="shared" si="66"/>
        <v>-867.5</v>
      </c>
      <c r="U174" s="207">
        <f t="shared" si="66"/>
        <v>9504.1666666666661</v>
      </c>
      <c r="V174" s="209">
        <f t="shared" si="66"/>
        <v>123.33333333333333</v>
      </c>
      <c r="W174" s="209">
        <f t="shared" si="66"/>
        <v>19613.333333333332</v>
      </c>
      <c r="X174" s="209"/>
      <c r="Y174" s="209"/>
      <c r="Z174" s="207">
        <f t="shared" si="66"/>
        <v>3119.1666666666665</v>
      </c>
      <c r="AA174" s="89"/>
      <c r="AB174" s="209">
        <f t="shared" si="66"/>
        <v>183.75</v>
      </c>
      <c r="AC174" s="209">
        <f t="shared" si="66"/>
        <v>9.9166666666666661</v>
      </c>
      <c r="AD174" s="210"/>
      <c r="AE174" s="207">
        <f t="shared" si="66"/>
        <v>6.487633333333334</v>
      </c>
      <c r="AF174" s="209">
        <f t="shared" si="66"/>
        <v>96.833333333333329</v>
      </c>
      <c r="AG174" s="209">
        <f t="shared" si="66"/>
        <v>6.5</v>
      </c>
      <c r="AH174" s="211">
        <f>AI174/AI173-1</f>
        <v>-5.3199374418200107E-2</v>
      </c>
      <c r="AI174" s="209">
        <f t="shared" si="66"/>
        <v>83.15200160064694</v>
      </c>
      <c r="AJ174" s="209">
        <f t="shared" si="66"/>
        <v>957.05324074074053</v>
      </c>
      <c r="AK174" s="209"/>
      <c r="AL174" s="209">
        <f t="shared" si="66"/>
        <v>484.00060002461595</v>
      </c>
      <c r="AM174" s="211">
        <f t="shared" si="63"/>
        <v>-4.7092101464166203E-2</v>
      </c>
      <c r="AN174" s="89">
        <f t="shared" si="66"/>
        <v>118085.83333333333</v>
      </c>
      <c r="AO174" s="89">
        <f t="shared" si="66"/>
        <v>54195.833333333336</v>
      </c>
      <c r="AP174" s="216">
        <f t="shared" si="64"/>
        <v>0.11547302297022832</v>
      </c>
      <c r="AQ174" s="216">
        <f t="shared" si="64"/>
        <v>-0.18809767546378375</v>
      </c>
      <c r="AR174" s="216">
        <f>(AN174/$AN$171)^(1/COUNTA($B$171:$B173))-1</f>
        <v>6.9849133224365589E-2</v>
      </c>
      <c r="AS174" s="216"/>
      <c r="AT174" s="216">
        <f>(AO174/$AO$171)^(1/COUNTA($B$171:$B173))-1</f>
        <v>1.7043155145217703E-2</v>
      </c>
      <c r="AU174" s="205"/>
      <c r="AV174" s="205"/>
      <c r="AW174" s="205"/>
      <c r="AX174" s="202"/>
      <c r="AY174" s="202"/>
      <c r="AZ174" s="202"/>
      <c r="BA174" s="51"/>
      <c r="BK174" s="96"/>
      <c r="BL174" s="97"/>
      <c r="BM174" s="97"/>
      <c r="BN174" s="96"/>
      <c r="BO174" s="96"/>
      <c r="BP174" s="97"/>
      <c r="BQ174" s="97"/>
      <c r="BR174" s="97"/>
      <c r="BS174" s="97"/>
      <c r="BU174" s="113"/>
      <c r="BV174" s="113"/>
      <c r="BW174" s="113"/>
      <c r="BX174" s="113"/>
      <c r="BY174" s="113"/>
    </row>
    <row r="175" spans="1:77" ht="12" customHeight="1" collapsed="1">
      <c r="A175" s="215">
        <f>C175/C174-1</f>
        <v>1.6924803374319231E-2</v>
      </c>
      <c r="B175" s="206">
        <f>B174+365</f>
        <v>44926</v>
      </c>
      <c r="C175" s="207">
        <f t="shared" ref="C175:Z175" si="67">AVERAGE(C57,C60:C70)</f>
        <v>175197.5</v>
      </c>
      <c r="D175" s="208">
        <f t="shared" si="67"/>
        <v>144410.83333333334</v>
      </c>
      <c r="E175" s="209">
        <f t="shared" si="67"/>
        <v>26370.833333333332</v>
      </c>
      <c r="F175" s="209">
        <f t="shared" si="67"/>
        <v>24542.5</v>
      </c>
      <c r="G175" s="209">
        <f t="shared" si="67"/>
        <v>13281.666666666666</v>
      </c>
      <c r="H175" s="209">
        <f t="shared" si="67"/>
        <v>706.66666666666663</v>
      </c>
      <c r="I175" s="209">
        <f t="shared" si="67"/>
        <v>1330</v>
      </c>
      <c r="J175" s="209">
        <f t="shared" si="67"/>
        <v>4200.833333333333</v>
      </c>
      <c r="K175" s="209">
        <f t="shared" si="67"/>
        <v>540</v>
      </c>
      <c r="L175" s="209">
        <f t="shared" si="67"/>
        <v>1491.6666666666667</v>
      </c>
      <c r="M175" s="209">
        <f t="shared" si="67"/>
        <v>103.33333333333333</v>
      </c>
      <c r="N175" s="209">
        <f t="shared" si="67"/>
        <v>251.66666666666666</v>
      </c>
      <c r="O175" s="209">
        <f t="shared" si="67"/>
        <v>819.16666666666663</v>
      </c>
      <c r="P175" s="207">
        <f t="shared" si="67"/>
        <v>30102.5</v>
      </c>
      <c r="Q175" s="209">
        <f t="shared" si="67"/>
        <v>10575.833333333334</v>
      </c>
      <c r="R175" s="209">
        <f t="shared" si="67"/>
        <v>3345</v>
      </c>
      <c r="S175" s="209">
        <f t="shared" si="67"/>
        <v>2500</v>
      </c>
      <c r="T175" s="209">
        <f t="shared" si="67"/>
        <v>-111.66666666666667</v>
      </c>
      <c r="U175" s="207">
        <f t="shared" si="67"/>
        <v>9367.5</v>
      </c>
      <c r="V175" s="209">
        <f t="shared" si="67"/>
        <v>1306.6666666666667</v>
      </c>
      <c r="W175" s="209">
        <f t="shared" si="67"/>
        <v>12310</v>
      </c>
      <c r="X175" s="209">
        <f t="shared" si="67"/>
        <v>3000</v>
      </c>
      <c r="Y175" s="209">
        <f t="shared" si="67"/>
        <v>460</v>
      </c>
      <c r="Z175" s="207">
        <f t="shared" si="67"/>
        <v>30786.666666666668</v>
      </c>
      <c r="AA175" s="89"/>
      <c r="AB175" s="209">
        <f t="shared" ref="AB175:AG175" si="68">AVERAGE(AB57,AB60:AB70)</f>
        <v>232.5</v>
      </c>
      <c r="AC175" s="209">
        <f t="shared" si="68"/>
        <v>9</v>
      </c>
      <c r="AD175" s="210">
        <f t="shared" si="68"/>
        <v>3.5791666666666662</v>
      </c>
      <c r="AE175" s="207">
        <f t="shared" si="68"/>
        <v>42.083333333333336</v>
      </c>
      <c r="AF175" s="209">
        <f t="shared" si="68"/>
        <v>1941.9166666666667</v>
      </c>
      <c r="AG175" s="209">
        <f t="shared" si="68"/>
        <v>46.333333333333336</v>
      </c>
      <c r="AH175" s="211"/>
      <c r="AI175" s="209">
        <f>AVERAGE(AI57,AI60:AI70)</f>
        <v>127.85500150127091</v>
      </c>
      <c r="AJ175" s="209">
        <f>AVERAGE(AJ57,AJ60:AJ70)</f>
        <v>1042.5</v>
      </c>
      <c r="AK175" s="209">
        <f>AVERAGE(AK57,AK60:AK70)</f>
        <v>127.2537992957302</v>
      </c>
      <c r="AL175" s="209">
        <f>AVERAGE(AL57,AL60:AL70)</f>
        <v>829.11131800171199</v>
      </c>
      <c r="AM175" s="211">
        <f t="shared" si="63"/>
        <v>0.71303778953898811</v>
      </c>
      <c r="AN175" s="89">
        <f>AVERAGE(AN57,AN60:AN70)</f>
        <v>104064.16666666667</v>
      </c>
      <c r="AO175" s="89">
        <f>AVERAGE(AO57,AO60:AO70)</f>
        <v>71133.333333333328</v>
      </c>
      <c r="AP175" s="216">
        <f t="shared" si="64"/>
        <v>-0.11874131105198893</v>
      </c>
      <c r="AQ175" s="216">
        <f t="shared" si="64"/>
        <v>0.31252402552471725</v>
      </c>
      <c r="AR175" s="216">
        <f>(AN175/$AN$171)^(1/COUNTA($B$171:$B174))-1</f>
        <v>1.921957804938712E-2</v>
      </c>
      <c r="AS175" s="216"/>
      <c r="AT175" s="216">
        <f>(AO175/$AO$171)^(1/COUNTA($B$171:$B174))-1</f>
        <v>8.400516478984521E-2</v>
      </c>
      <c r="AV175" s="205"/>
      <c r="AW175" s="205"/>
      <c r="AX175" s="202"/>
      <c r="AY175" s="202"/>
      <c r="AZ175" s="202"/>
      <c r="BA175" s="51"/>
      <c r="BK175" s="96"/>
      <c r="BL175" s="97"/>
      <c r="BM175" s="97"/>
      <c r="BN175" s="96"/>
      <c r="BO175" s="96"/>
      <c r="BP175" s="97"/>
      <c r="BQ175" s="97"/>
      <c r="BR175" s="97"/>
      <c r="BS175" s="97"/>
      <c r="BU175" s="113"/>
      <c r="BV175" s="113"/>
      <c r="BW175" s="113"/>
      <c r="BX175" s="113"/>
      <c r="BY175" s="113"/>
    </row>
    <row r="176" spans="1:77" ht="12" customHeight="1" collapsed="1">
      <c r="A176" s="215">
        <f t="shared" ref="A176:A183" si="69">C176/C175-1</f>
        <v>0.13871487892235912</v>
      </c>
      <c r="B176" s="206">
        <f>B175+365</f>
        <v>45291</v>
      </c>
      <c r="C176" s="207">
        <f t="shared" ref="C176:R176" si="70">AVERAGE(C71:C82)</f>
        <v>199500</v>
      </c>
      <c r="D176" s="208">
        <f t="shared" si="70"/>
        <v>152685.83333333334</v>
      </c>
      <c r="E176" s="209">
        <f t="shared" si="70"/>
        <v>26625.833333333332</v>
      </c>
      <c r="F176" s="209">
        <f t="shared" si="70"/>
        <v>28819.166666666668</v>
      </c>
      <c r="G176" s="209">
        <f t="shared" si="70"/>
        <v>13006.666666666666</v>
      </c>
      <c r="H176" s="209">
        <f t="shared" si="70"/>
        <v>450</v>
      </c>
      <c r="I176" s="209">
        <f t="shared" si="70"/>
        <v>1330</v>
      </c>
      <c r="J176" s="209">
        <f t="shared" si="70"/>
        <v>2519.1666666666665</v>
      </c>
      <c r="K176" s="209">
        <f t="shared" si="70"/>
        <v>525</v>
      </c>
      <c r="L176" s="209">
        <f t="shared" si="70"/>
        <v>2413.3333333333335</v>
      </c>
      <c r="M176" s="209">
        <f t="shared" si="70"/>
        <v>90.833333333333329</v>
      </c>
      <c r="N176" s="209">
        <f t="shared" si="70"/>
        <v>260</v>
      </c>
      <c r="O176" s="209">
        <f t="shared" si="70"/>
        <v>794.16666666666663</v>
      </c>
      <c r="P176" s="207">
        <f t="shared" si="70"/>
        <v>34621.666666666664</v>
      </c>
      <c r="Q176" s="209">
        <f t="shared" si="70"/>
        <v>13138.333333333334</v>
      </c>
      <c r="R176" s="209">
        <f t="shared" si="70"/>
        <v>3370</v>
      </c>
      <c r="S176" s="209"/>
      <c r="T176" s="209">
        <f t="shared" ref="T176:Z176" si="71">AVERAGE(T71:T82)</f>
        <v>13.333333333333334</v>
      </c>
      <c r="U176" s="207">
        <f t="shared" si="71"/>
        <v>7829.166666666667</v>
      </c>
      <c r="V176" s="209">
        <f t="shared" si="71"/>
        <v>1413.3333333333333</v>
      </c>
      <c r="W176" s="209">
        <f t="shared" si="71"/>
        <v>12310</v>
      </c>
      <c r="X176" s="209">
        <f t="shared" si="71"/>
        <v>3000</v>
      </c>
      <c r="Y176" s="209">
        <f t="shared" si="71"/>
        <v>155.83333333333334</v>
      </c>
      <c r="Z176" s="207">
        <f t="shared" si="71"/>
        <v>46814.166666666664</v>
      </c>
      <c r="AA176" s="89"/>
      <c r="AB176" s="209">
        <f t="shared" ref="AB176:AG176" si="72">AVERAGE(AB71:AB82)</f>
        <v>221.33333333333334</v>
      </c>
      <c r="AC176" s="209">
        <f t="shared" si="72"/>
        <v>6.916666666666667</v>
      </c>
      <c r="AD176" s="210">
        <f t="shared" si="72"/>
        <v>1.2249999999999999</v>
      </c>
      <c r="AE176" s="207">
        <f t="shared" si="72"/>
        <v>49</v>
      </c>
      <c r="AF176" s="209">
        <f t="shared" si="72"/>
        <v>2515.4166666666665</v>
      </c>
      <c r="AG176" s="209">
        <f t="shared" si="72"/>
        <v>49</v>
      </c>
      <c r="AH176" s="211">
        <f>AI176/AI175-1</f>
        <v>0.21541302754414748</v>
      </c>
      <c r="AI176" s="209">
        <f>AVERAGE(AI71:AI82)</f>
        <v>155.39663446132118</v>
      </c>
      <c r="AJ176" s="209">
        <f>AVERAGE(AJ71:AJ82)</f>
        <v>1133.3333333333333</v>
      </c>
      <c r="AK176" s="209">
        <f>AVERAGE(AK71:AK82)</f>
        <v>122.93834569313712</v>
      </c>
      <c r="AL176" s="209">
        <f>AVERAGE(AL71:AL82)</f>
        <v>1092.3270419195594</v>
      </c>
      <c r="AM176" s="211">
        <f t="shared" si="63"/>
        <v>0.31746729082439562</v>
      </c>
      <c r="AN176" s="89">
        <f>AVERAGE(AN71:AN82)</f>
        <v>110105.63933009993</v>
      </c>
      <c r="AO176" s="89">
        <f>AVERAGE(AO71:AO82)</f>
        <v>89440.840051223917</v>
      </c>
      <c r="AP176" s="216">
        <f t="shared" si="64"/>
        <v>5.8055263948684876E-2</v>
      </c>
      <c r="AQ176" s="216">
        <f t="shared" si="64"/>
        <v>0.25736888544363534</v>
      </c>
      <c r="AR176" s="216">
        <f>(AN176/$AN$171)^(1/COUNTA($B$171:$B175))-1</f>
        <v>2.6870969916741538E-2</v>
      </c>
      <c r="AS176" s="216"/>
      <c r="AT176" s="216">
        <f>(AO176/$AO$171)^(1/COUNTA($B$171:$B175))-1</f>
        <v>0.11665142113336957</v>
      </c>
      <c r="AU176" s="183"/>
      <c r="AV176" s="183"/>
      <c r="AW176" s="183"/>
      <c r="AX176" s="183"/>
      <c r="AY176" s="183"/>
      <c r="AZ176" s="183"/>
      <c r="BA176" s="51"/>
      <c r="BB176" s="113"/>
      <c r="BO176" s="96"/>
      <c r="BP176" s="97"/>
      <c r="BQ176" s="97"/>
      <c r="BR176" s="97"/>
      <c r="BS176" s="97"/>
      <c r="BU176" s="113"/>
      <c r="BV176" s="113"/>
      <c r="BW176" s="113"/>
      <c r="BX176" s="113"/>
      <c r="BY176" s="113"/>
    </row>
    <row r="177" spans="1:77" ht="12" customHeight="1" collapsed="1">
      <c r="A177" s="215">
        <f>C177/C176-1</f>
        <v>-4.3149540517961604E-3</v>
      </c>
      <c r="B177" s="206">
        <f>B176+366</f>
        <v>45657</v>
      </c>
      <c r="C177" s="207">
        <f t="shared" ref="C177:R177" si="73">AVERAGE(C83:C94)</f>
        <v>198639.16666666666</v>
      </c>
      <c r="D177" s="208">
        <f t="shared" si="73"/>
        <v>167405.83333333334</v>
      </c>
      <c r="E177" s="209">
        <f t="shared" si="73"/>
        <v>28840.833333333332</v>
      </c>
      <c r="F177" s="209">
        <f t="shared" si="73"/>
        <v>27026.666666666668</v>
      </c>
      <c r="G177" s="209">
        <f t="shared" si="73"/>
        <v>13005</v>
      </c>
      <c r="H177" s="209">
        <f t="shared" si="73"/>
        <v>457.5</v>
      </c>
      <c r="I177" s="209">
        <f t="shared" si="73"/>
        <v>835</v>
      </c>
      <c r="J177" s="209">
        <f t="shared" si="73"/>
        <v>5558.333333333333</v>
      </c>
      <c r="K177" s="209">
        <f t="shared" si="73"/>
        <v>408.33333333333331</v>
      </c>
      <c r="L177" s="209">
        <f t="shared" si="73"/>
        <v>2145.8333333333335</v>
      </c>
      <c r="M177" s="209">
        <f t="shared" si="73"/>
        <v>90</v>
      </c>
      <c r="N177" s="209">
        <f t="shared" si="73"/>
        <v>253.33333333333334</v>
      </c>
      <c r="O177" s="209">
        <f t="shared" si="73"/>
        <v>1073.3333333333333</v>
      </c>
      <c r="P177" s="207">
        <f t="shared" si="73"/>
        <v>37097.5</v>
      </c>
      <c r="Q177" s="209">
        <f t="shared" si="73"/>
        <v>16781.666666666668</v>
      </c>
      <c r="R177" s="209">
        <f t="shared" si="73"/>
        <v>4653.333333333333</v>
      </c>
      <c r="S177" s="209"/>
      <c r="T177" s="209">
        <f t="shared" ref="T177:Z177" si="74">AVERAGE(T83:T94)</f>
        <v>0</v>
      </c>
      <c r="U177" s="207">
        <f t="shared" si="74"/>
        <v>7762.5</v>
      </c>
      <c r="V177" s="209">
        <f t="shared" si="74"/>
        <v>1471.6666666666667</v>
      </c>
      <c r="W177" s="209">
        <f t="shared" si="74"/>
        <v>16803.333333333332</v>
      </c>
      <c r="X177" s="209">
        <f t="shared" si="74"/>
        <v>3000</v>
      </c>
      <c r="Y177" s="209">
        <f t="shared" si="74"/>
        <v>141.66666666666666</v>
      </c>
      <c r="Z177" s="207">
        <f t="shared" si="74"/>
        <v>31233.333333333332</v>
      </c>
      <c r="AA177" s="89"/>
      <c r="AB177" s="209">
        <f t="shared" ref="AB177:AG177" si="75">AVERAGE(AB83:AB94)</f>
        <v>242.58333333333334</v>
      </c>
      <c r="AC177" s="209">
        <f t="shared" si="75"/>
        <v>6.75</v>
      </c>
      <c r="AD177" s="210">
        <f t="shared" si="75"/>
        <v>1.1333333333333333</v>
      </c>
      <c r="AE177" s="207">
        <f t="shared" si="75"/>
        <v>30.415000000000003</v>
      </c>
      <c r="AF177" s="209">
        <f t="shared" si="75"/>
        <v>2940.1166666666663</v>
      </c>
      <c r="AG177" s="209">
        <f t="shared" si="75"/>
        <v>30.333333333333332</v>
      </c>
      <c r="AH177" s="211">
        <f>AI177/AI176-1</f>
        <v>-1.9862032152015319E-2</v>
      </c>
      <c r="AI177" s="209">
        <f>AVERAGE(AI83:AI94)</f>
        <v>152.31014151133544</v>
      </c>
      <c r="AJ177" s="209">
        <f>AVERAGE(AJ83:AJ94)</f>
        <v>1150</v>
      </c>
      <c r="AK177" s="209">
        <f>AVERAGE(AK83:AK94)</f>
        <v>123.78986676729498</v>
      </c>
      <c r="AL177" s="209">
        <f>AVERAGE(AL83:AL94)</f>
        <v>1514.474137256092</v>
      </c>
      <c r="AM177" s="211">
        <f t="shared" si="63"/>
        <v>0.38646584689022112</v>
      </c>
      <c r="AN177" s="89">
        <f>AVERAGE(AN83:AN94)</f>
        <v>122404.16666666667</v>
      </c>
      <c r="AO177" s="89">
        <f>AVERAGE(AO83:AO94)</f>
        <v>76235</v>
      </c>
      <c r="AP177" s="216">
        <f t="shared" si="64"/>
        <v>0.11169752440831293</v>
      </c>
      <c r="AQ177" s="216">
        <f t="shared" si="64"/>
        <v>-0.14764888213997951</v>
      </c>
      <c r="AR177" s="216">
        <f>(AN177/$AN$171)^(1/COUNTA($B$171:$B176))-1</f>
        <v>4.0545327465898895E-2</v>
      </c>
      <c r="AS177" s="216"/>
      <c r="AT177" s="216">
        <f>(AO177/$AO$171)^(1/COUNTA($B$171:$B176))-1</f>
        <v>6.7499732803004253E-2</v>
      </c>
      <c r="AU177" s="183"/>
      <c r="AV177" s="183"/>
      <c r="AW177" s="183"/>
      <c r="AX177" s="183"/>
      <c r="AY177" s="183"/>
      <c r="AZ177" s="183"/>
      <c r="BA177" s="51"/>
      <c r="BB177" s="113"/>
      <c r="BC177" s="170"/>
      <c r="BD177" s="171"/>
      <c r="BE177" s="171"/>
      <c r="BF177" s="91"/>
      <c r="BG177" s="91"/>
      <c r="BH177" s="172"/>
      <c r="BJ177" s="91"/>
      <c r="BK177" s="91"/>
      <c r="BL177" s="96"/>
      <c r="BM177" s="97"/>
      <c r="BN177" s="97"/>
      <c r="BO177" s="96"/>
      <c r="BP177" s="97"/>
      <c r="BQ177" s="97"/>
      <c r="BR177" s="97"/>
      <c r="BS177" s="97"/>
      <c r="BU177" s="113"/>
      <c r="BV177" s="113"/>
      <c r="BW177" s="113"/>
      <c r="BX177" s="113"/>
      <c r="BY177" s="113"/>
    </row>
    <row r="178" spans="1:77" ht="12" customHeight="1" collapsed="1">
      <c r="A178" s="215">
        <f t="shared" si="69"/>
        <v>0.1131154899797373</v>
      </c>
      <c r="B178" s="206">
        <f>B177+365</f>
        <v>46022</v>
      </c>
      <c r="C178" s="207">
        <f t="shared" ref="C178:R178" si="76">AVERAGE(C95:C106)</f>
        <v>221108.33333333334</v>
      </c>
      <c r="D178" s="208">
        <f t="shared" si="76"/>
        <v>177896.66666666666</v>
      </c>
      <c r="E178" s="209">
        <f t="shared" si="76"/>
        <v>31466.666666666668</v>
      </c>
      <c r="F178" s="209">
        <f t="shared" si="76"/>
        <v>24640.833333333332</v>
      </c>
      <c r="G178" s="209">
        <f t="shared" si="76"/>
        <v>13103.333333333334</v>
      </c>
      <c r="H178" s="209">
        <f t="shared" si="76"/>
        <v>488.33333333333331</v>
      </c>
      <c r="I178" s="209">
        <f t="shared" si="76"/>
        <v>645</v>
      </c>
      <c r="J178" s="209">
        <f t="shared" si="76"/>
        <v>7167.5</v>
      </c>
      <c r="K178" s="209">
        <f t="shared" si="76"/>
        <v>410</v>
      </c>
      <c r="L178" s="209">
        <f t="shared" si="76"/>
        <v>2743.3333333333335</v>
      </c>
      <c r="M178" s="209">
        <f t="shared" si="76"/>
        <v>176.66666666666666</v>
      </c>
      <c r="N178" s="209">
        <f t="shared" si="76"/>
        <v>290</v>
      </c>
      <c r="O178" s="209">
        <f t="shared" si="76"/>
        <v>1053.3333333333333</v>
      </c>
      <c r="P178" s="207">
        <f t="shared" si="76"/>
        <v>39383.333333333336</v>
      </c>
      <c r="Q178" s="209">
        <f t="shared" si="76"/>
        <v>18773.333333333332</v>
      </c>
      <c r="R178" s="209">
        <f t="shared" si="76"/>
        <v>5950.833333333333</v>
      </c>
      <c r="S178" s="209"/>
      <c r="T178" s="209">
        <f t="shared" ref="T178:Z178" si="77">AVERAGE(T95:T106)</f>
        <v>0</v>
      </c>
      <c r="U178" s="207">
        <f t="shared" si="77"/>
        <v>7954.166666666667</v>
      </c>
      <c r="V178" s="209">
        <f t="shared" si="77"/>
        <v>1463.3333333333333</v>
      </c>
      <c r="W178" s="209">
        <f t="shared" si="77"/>
        <v>19050</v>
      </c>
      <c r="X178" s="209">
        <f t="shared" si="77"/>
        <v>3000</v>
      </c>
      <c r="Y178" s="209">
        <f t="shared" si="77"/>
        <v>136.66666666666666</v>
      </c>
      <c r="Z178" s="207">
        <f t="shared" si="77"/>
        <v>43211.666666666664</v>
      </c>
      <c r="AA178" s="89"/>
      <c r="AB178" s="209">
        <f t="shared" ref="AB178:AG178" si="78">AVERAGE(AB95:AB106)</f>
        <v>260.58333333333331</v>
      </c>
      <c r="AC178" s="209">
        <f t="shared" si="78"/>
        <v>6.916666666666667</v>
      </c>
      <c r="AD178" s="210">
        <f t="shared" si="78"/>
        <v>1.1125</v>
      </c>
      <c r="AE178" s="207">
        <f t="shared" si="78"/>
        <v>40.583333333333336</v>
      </c>
      <c r="AF178" s="209">
        <f t="shared" si="78"/>
        <v>3402.8333333333335</v>
      </c>
      <c r="AG178" s="209">
        <f t="shared" si="78"/>
        <v>40.583333333333336</v>
      </c>
      <c r="AH178" s="211">
        <f t="shared" ref="AH178:AH183" si="79">AI178/AI177-1</f>
        <v>-1.6378204956750353E-2</v>
      </c>
      <c r="AI178" s="209">
        <f>AVERAGE(AI95:AI106)</f>
        <v>149.81557479667114</v>
      </c>
      <c r="AJ178" s="209">
        <f>AVERAGE(AJ95:AJ106)</f>
        <v>1150</v>
      </c>
      <c r="AK178" s="209">
        <f>AVERAGE(AK95:AK106)</f>
        <v>122.15824707973512</v>
      </c>
      <c r="AL178" s="209">
        <f>AVERAGE(AL95:AL106)</f>
        <v>1246.9361992611121</v>
      </c>
      <c r="AM178" s="211">
        <f t="shared" si="63"/>
        <v>-0.17665401568342554</v>
      </c>
      <c r="AN178" s="89">
        <f>AVERAGE(AN95:AN106)</f>
        <v>130422.5</v>
      </c>
      <c r="AO178" s="89">
        <f>AVERAGE(AO95:AO106)</f>
        <v>90685.833333333328</v>
      </c>
      <c r="AP178" s="216">
        <f t="shared" si="64"/>
        <v>6.5507029308642828E-2</v>
      </c>
      <c r="AQ178" s="216">
        <f t="shared" si="64"/>
        <v>0.1895564154697098</v>
      </c>
      <c r="AR178" s="216">
        <f>(AN178/$AN$171)^(1/COUNTA($B$171:$B177))-1</f>
        <v>4.4075158455890495E-2</v>
      </c>
      <c r="AS178" s="216"/>
      <c r="AT178" s="216">
        <f>(AO178/$AO$171)^(1/COUNTA($B$171:$B177))-1</f>
        <v>8.4137901517087776E-2</v>
      </c>
      <c r="AV178" s="183"/>
      <c r="AW178" s="183"/>
      <c r="AX178" s="183"/>
      <c r="AY178" s="183"/>
      <c r="AZ178" s="183"/>
      <c r="BA178" s="51"/>
      <c r="BB178" s="113"/>
      <c r="BC178" s="170"/>
      <c r="BD178" s="171"/>
      <c r="BE178" s="171"/>
      <c r="BF178" s="91"/>
      <c r="BG178" s="91"/>
      <c r="BH178" s="172"/>
      <c r="BJ178" s="91"/>
      <c r="BK178" s="91"/>
      <c r="BL178" s="96"/>
      <c r="BM178" s="97"/>
      <c r="BN178" s="97"/>
      <c r="BO178" s="96"/>
      <c r="BP178" s="97"/>
      <c r="BQ178" s="97"/>
      <c r="BR178" s="97"/>
      <c r="BS178" s="97"/>
      <c r="BU178" s="113"/>
      <c r="BV178" s="113"/>
      <c r="BW178" s="113"/>
      <c r="BX178" s="113"/>
      <c r="BY178" s="113"/>
    </row>
    <row r="179" spans="1:77" ht="12" customHeight="1" collapsed="1">
      <c r="A179" s="215">
        <f t="shared" si="69"/>
        <v>1.8228244073418054E-2</v>
      </c>
      <c r="B179" s="217">
        <f>B178+365</f>
        <v>46387</v>
      </c>
      <c r="C179" s="218">
        <f t="shared" ref="C179:R179" si="80">AVERAGE(C107:C118)</f>
        <v>225138.75</v>
      </c>
      <c r="D179" s="219">
        <f t="shared" si="80"/>
        <v>180837.5</v>
      </c>
      <c r="E179" s="198">
        <f t="shared" si="80"/>
        <v>34357.5</v>
      </c>
      <c r="F179" s="198">
        <f t="shared" si="80"/>
        <v>25160</v>
      </c>
      <c r="G179" s="198">
        <f t="shared" si="80"/>
        <v>13665.833333333334</v>
      </c>
      <c r="H179" s="198">
        <f t="shared" si="80"/>
        <v>470</v>
      </c>
      <c r="I179" s="198">
        <f t="shared" si="80"/>
        <v>660.83333333333337</v>
      </c>
      <c r="J179" s="198">
        <f t="shared" si="80"/>
        <v>5829.166666666667</v>
      </c>
      <c r="K179" s="198">
        <f t="shared" si="80"/>
        <v>418.33333333333331</v>
      </c>
      <c r="L179" s="198">
        <f t="shared" si="80"/>
        <v>2753.3333333333335</v>
      </c>
      <c r="M179" s="198">
        <f t="shared" si="80"/>
        <v>445</v>
      </c>
      <c r="N179" s="198">
        <f t="shared" si="80"/>
        <v>290</v>
      </c>
      <c r="O179" s="198">
        <f t="shared" si="80"/>
        <v>1240</v>
      </c>
      <c r="P179" s="218">
        <f t="shared" si="80"/>
        <v>34306.666666666664</v>
      </c>
      <c r="Q179" s="198">
        <f t="shared" si="80"/>
        <v>18190</v>
      </c>
      <c r="R179" s="198">
        <f t="shared" si="80"/>
        <v>5765</v>
      </c>
      <c r="S179" s="198"/>
      <c r="T179" s="198">
        <f t="shared" ref="T179:Z179" si="81">AVERAGE(T107:T118)</f>
        <v>0</v>
      </c>
      <c r="U179" s="218">
        <f t="shared" si="81"/>
        <v>7858.333333333333</v>
      </c>
      <c r="V179" s="198">
        <f t="shared" si="81"/>
        <v>1930</v>
      </c>
      <c r="W179" s="198">
        <f t="shared" si="81"/>
        <v>24343.333333333332</v>
      </c>
      <c r="X179" s="198">
        <f t="shared" si="81"/>
        <v>3000</v>
      </c>
      <c r="Y179" s="198">
        <f t="shared" si="81"/>
        <v>156.25</v>
      </c>
      <c r="Z179" s="218">
        <f t="shared" si="81"/>
        <v>44301.25</v>
      </c>
      <c r="AA179" s="197"/>
      <c r="AB179" s="198">
        <f t="shared" ref="AB179:AG179" si="82">AVERAGE(AB107:AB118)</f>
        <v>234.08333333333334</v>
      </c>
      <c r="AC179" s="198">
        <f t="shared" si="82"/>
        <v>6.833333333333333</v>
      </c>
      <c r="AD179" s="220">
        <f t="shared" si="82"/>
        <v>1.2166666666666666</v>
      </c>
      <c r="AE179" s="218">
        <f t="shared" si="82"/>
        <v>36.166666666666664</v>
      </c>
      <c r="AF179" s="198">
        <f t="shared" si="82"/>
        <v>1586.5</v>
      </c>
      <c r="AG179" s="198">
        <f t="shared" si="82"/>
        <v>37.166666666666664</v>
      </c>
      <c r="AH179" s="221">
        <f t="shared" si="79"/>
        <v>5.3340690582057482E-2</v>
      </c>
      <c r="AI179" s="198">
        <f>AVERAGE(AI107:AI118)</f>
        <v>157.80684101627347</v>
      </c>
      <c r="AJ179" s="198">
        <f>AVERAGE(AJ107:AJ118)</f>
        <v>1150</v>
      </c>
      <c r="AK179" s="198">
        <f>AVERAGE(AK107:AK118)</f>
        <v>128.31819179284616</v>
      </c>
      <c r="AL179" s="198">
        <f>AVERAGE(AL107:AL118)</f>
        <v>1560.8680398162323</v>
      </c>
      <c r="AM179" s="221">
        <f t="shared" si="63"/>
        <v>0.25176255268003667</v>
      </c>
      <c r="AN179" s="197">
        <f>AVERAGE(AN107:AN118)</f>
        <v>138518.33333333334</v>
      </c>
      <c r="AO179" s="197">
        <f>AVERAGE(AO107:AO118)</f>
        <v>86622.5</v>
      </c>
      <c r="AP179" s="222">
        <f t="shared" si="64"/>
        <v>6.2073900847885444E-2</v>
      </c>
      <c r="AQ179" s="222">
        <f t="shared" si="64"/>
        <v>-4.4806704465048752E-2</v>
      </c>
      <c r="AR179" s="223">
        <f>(AN179/$AN$171)^(1/COUNTA($B$171:$B178))-1</f>
        <v>4.6308213452854519E-2</v>
      </c>
      <c r="AS179" s="224"/>
      <c r="AT179" s="223">
        <f>(AO179/$AO$171)^(1/COUNTA($B$171:$B178))-1</f>
        <v>6.7112899720544128E-2</v>
      </c>
      <c r="AU179" s="183"/>
      <c r="AV179" s="183"/>
      <c r="AW179" s="183"/>
      <c r="AX179" s="183"/>
      <c r="AY179" s="183"/>
      <c r="AZ179" s="183"/>
      <c r="BG179" s="91"/>
      <c r="BQ179" s="172"/>
    </row>
    <row r="180" spans="1:77" ht="12" customHeight="1" collapsed="1">
      <c r="A180" s="215">
        <f t="shared" si="69"/>
        <v>6.311848434206313E-2</v>
      </c>
      <c r="B180" s="225">
        <f>B179+365</f>
        <v>46752</v>
      </c>
      <c r="C180" s="226">
        <f t="shared" ref="C180:R180" si="83">AVERAGE(C119:C130)</f>
        <v>239349.16666666666</v>
      </c>
      <c r="D180" s="227">
        <f t="shared" si="83"/>
        <v>192622.5</v>
      </c>
      <c r="E180" s="228">
        <f t="shared" si="83"/>
        <v>35977.572916666664</v>
      </c>
      <c r="F180" s="228">
        <f t="shared" si="83"/>
        <v>25863.333333333332</v>
      </c>
      <c r="G180" s="228">
        <f t="shared" si="83"/>
        <v>13565.833333333334</v>
      </c>
      <c r="H180" s="228">
        <f t="shared" si="83"/>
        <v>520</v>
      </c>
      <c r="I180" s="228">
        <f t="shared" si="83"/>
        <v>699.16666666666663</v>
      </c>
      <c r="J180" s="228">
        <f t="shared" si="83"/>
        <v>7420</v>
      </c>
      <c r="K180" s="228">
        <f t="shared" si="83"/>
        <v>439.16666666666669</v>
      </c>
      <c r="L180" s="228">
        <f t="shared" si="83"/>
        <v>2540</v>
      </c>
      <c r="M180" s="228">
        <f t="shared" si="83"/>
        <v>390</v>
      </c>
      <c r="N180" s="228">
        <f t="shared" si="83"/>
        <v>290</v>
      </c>
      <c r="O180" s="228">
        <f t="shared" si="83"/>
        <v>1370</v>
      </c>
      <c r="P180" s="226">
        <f t="shared" si="83"/>
        <v>40464.103018528767</v>
      </c>
      <c r="Q180" s="228">
        <f t="shared" si="83"/>
        <v>16880</v>
      </c>
      <c r="R180" s="228">
        <f t="shared" si="83"/>
        <v>6270</v>
      </c>
      <c r="S180" s="228"/>
      <c r="T180" s="228">
        <f t="shared" ref="T180:Z180" si="84">AVERAGE(T119:T130)</f>
        <v>0</v>
      </c>
      <c r="U180" s="226">
        <f t="shared" si="84"/>
        <v>8254.1666666666661</v>
      </c>
      <c r="V180" s="228">
        <f t="shared" si="84"/>
        <v>1500</v>
      </c>
      <c r="W180" s="228">
        <f t="shared" si="84"/>
        <v>26990</v>
      </c>
      <c r="X180" s="228">
        <f t="shared" si="84"/>
        <v>3000</v>
      </c>
      <c r="Y180" s="228">
        <f t="shared" si="84"/>
        <v>195</v>
      </c>
      <c r="Z180" s="226">
        <f t="shared" si="84"/>
        <v>46726.666666666664</v>
      </c>
      <c r="AA180" s="229"/>
      <c r="AB180" s="228">
        <f t="shared" ref="AB180:AG180" si="85">AVERAGE(AB119:AB130)</f>
        <v>247.16666666666666</v>
      </c>
      <c r="AC180" s="228">
        <f t="shared" si="85"/>
        <v>7</v>
      </c>
      <c r="AD180" s="230">
        <f t="shared" si="85"/>
        <v>1.5</v>
      </c>
      <c r="AE180" s="226">
        <f t="shared" si="85"/>
        <v>45.916666666666664</v>
      </c>
      <c r="AF180" s="228">
        <f t="shared" si="85"/>
        <v>510.16666666666669</v>
      </c>
      <c r="AG180" s="228">
        <f t="shared" si="85"/>
        <v>45.916666666666664</v>
      </c>
      <c r="AH180" s="211">
        <f t="shared" si="79"/>
        <v>4.3365465267254377E-2</v>
      </c>
      <c r="AI180" s="228">
        <f>AVERAGE(AI119:AI130)</f>
        <v>164.65020809929982</v>
      </c>
      <c r="AJ180" s="228">
        <f>AVERAGE(AJ119:AJ130)</f>
        <v>1179.1666666666667</v>
      </c>
      <c r="AK180" s="228">
        <f>AVERAGE(AK119:AK130)</f>
        <v>130</v>
      </c>
      <c r="AL180" s="228">
        <f>AVERAGE(AL119:AL130)</f>
        <v>1019.1666666666666</v>
      </c>
      <c r="AM180" s="211">
        <f t="shared" si="63"/>
        <v>-0.34705135817461064</v>
      </c>
      <c r="AN180" s="229">
        <f>AVERAGE(AN119:AN130)</f>
        <v>143715.07291666666</v>
      </c>
      <c r="AO180" s="229">
        <f>AVERAGE(AO119:AO130)</f>
        <v>95639.93635186211</v>
      </c>
      <c r="AP180" s="231">
        <f t="shared" si="64"/>
        <v>3.7516619340399959E-2</v>
      </c>
      <c r="AQ180" s="231">
        <f t="shared" si="64"/>
        <v>0.10410039368365154</v>
      </c>
      <c r="AR180" s="232">
        <f>(AN180/$AN$171)^(1/COUNTA($B$171:$B179))-1</f>
        <v>4.5327702280849813E-2</v>
      </c>
      <c r="AS180" s="233"/>
      <c r="AT180" s="232">
        <f>(AO180/$AO$171)^(1/COUNTA($B$171:$B179))-1</f>
        <v>7.1160658953975497E-2</v>
      </c>
      <c r="AU180" s="183"/>
      <c r="AV180" s="183"/>
      <c r="AW180" s="183"/>
      <c r="AX180" s="183"/>
      <c r="AY180" s="183"/>
      <c r="AZ180" s="183"/>
      <c r="BG180" s="91"/>
      <c r="BQ180" s="172"/>
    </row>
    <row r="181" spans="1:77" ht="12" customHeight="1" collapsed="1">
      <c r="A181" s="215">
        <f t="shared" si="69"/>
        <v>9.9227418798895073E-3</v>
      </c>
      <c r="B181" s="225">
        <f>B180+366</f>
        <v>47118</v>
      </c>
      <c r="C181" s="226">
        <f t="shared" ref="C181:R181" si="86">AVERAGE(C131:C142)</f>
        <v>241724.16666666666</v>
      </c>
      <c r="D181" s="227">
        <f t="shared" si="86"/>
        <v>194538.33333333334</v>
      </c>
      <c r="E181" s="228">
        <f t="shared" si="86"/>
        <v>36427.292578124987</v>
      </c>
      <c r="F181" s="228">
        <f t="shared" si="86"/>
        <v>26183.333333333332</v>
      </c>
      <c r="G181" s="228">
        <f t="shared" si="86"/>
        <v>13735.833333333334</v>
      </c>
      <c r="H181" s="228">
        <f t="shared" si="86"/>
        <v>530</v>
      </c>
      <c r="I181" s="228">
        <f t="shared" si="86"/>
        <v>709.16666666666663</v>
      </c>
      <c r="J181" s="228">
        <f t="shared" si="86"/>
        <v>7642.6000000000013</v>
      </c>
      <c r="K181" s="228">
        <f t="shared" si="86"/>
        <v>449.16666666666669</v>
      </c>
      <c r="L181" s="228">
        <f t="shared" si="86"/>
        <v>2560</v>
      </c>
      <c r="M181" s="228">
        <f t="shared" si="86"/>
        <v>390</v>
      </c>
      <c r="N181" s="228">
        <f t="shared" si="86"/>
        <v>290</v>
      </c>
      <c r="O181" s="228">
        <f t="shared" si="86"/>
        <v>1380</v>
      </c>
      <c r="P181" s="226">
        <f t="shared" si="86"/>
        <v>40868.744048714048</v>
      </c>
      <c r="Q181" s="228">
        <f t="shared" si="86"/>
        <v>17048.333333333332</v>
      </c>
      <c r="R181" s="228">
        <f t="shared" si="86"/>
        <v>6320</v>
      </c>
      <c r="S181" s="228"/>
      <c r="T181" s="228">
        <f t="shared" ref="T181:Z181" si="87">AVERAGE(T131:T142)</f>
        <v>0</v>
      </c>
      <c r="U181" s="226">
        <f t="shared" si="87"/>
        <v>8324.1666666666661</v>
      </c>
      <c r="V181" s="228">
        <f t="shared" si="87"/>
        <v>1500</v>
      </c>
      <c r="W181" s="228">
        <f t="shared" si="87"/>
        <v>26990</v>
      </c>
      <c r="X181" s="228">
        <f t="shared" si="87"/>
        <v>3000</v>
      </c>
      <c r="Y181" s="228">
        <f t="shared" si="87"/>
        <v>195</v>
      </c>
      <c r="Z181" s="226">
        <f t="shared" si="87"/>
        <v>47185.833333333336</v>
      </c>
      <c r="AA181" s="229"/>
      <c r="AB181" s="228">
        <f t="shared" ref="AB181:AG181" si="88">AVERAGE(AB131:AB142)</f>
        <v>247.16666666666666</v>
      </c>
      <c r="AC181" s="228">
        <f t="shared" si="88"/>
        <v>7</v>
      </c>
      <c r="AD181" s="230">
        <f t="shared" si="88"/>
        <v>1.5</v>
      </c>
      <c r="AE181" s="226">
        <f t="shared" si="88"/>
        <v>45.916666666666664</v>
      </c>
      <c r="AF181" s="228">
        <f t="shared" si="88"/>
        <v>1061.1666666666667</v>
      </c>
      <c r="AG181" s="228">
        <f t="shared" si="88"/>
        <v>45.916666666666664</v>
      </c>
      <c r="AH181" s="211">
        <f t="shared" si="79"/>
        <v>1.0000000000000009E-2</v>
      </c>
      <c r="AI181" s="228">
        <f>AVERAGE(AI131:AI142)</f>
        <v>166.29671018029282</v>
      </c>
      <c r="AJ181" s="228">
        <f>AVERAGE(AJ131:AJ142)</f>
        <v>1189.1666666666667</v>
      </c>
      <c r="AK181" s="228">
        <f>AVERAGE(AK131:AK142)</f>
        <v>130</v>
      </c>
      <c r="AL181" s="228">
        <f>AVERAGE(AL131:AL142)</f>
        <v>1029.1666666666667</v>
      </c>
      <c r="AM181" s="211">
        <f t="shared" si="63"/>
        <v>9.8119378577270489E-3</v>
      </c>
      <c r="AN181" s="229">
        <f>AVERAGE(AN131:AN142)</f>
        <v>145155.72591145831</v>
      </c>
      <c r="AO181" s="229">
        <f>AVERAGE(AO131:AO142)</f>
        <v>96573.744048714041</v>
      </c>
      <c r="AP181" s="231">
        <f t="shared" si="64"/>
        <v>1.0024369508040643E-2</v>
      </c>
      <c r="AQ181" s="231">
        <f t="shared" si="64"/>
        <v>9.7637841729256714E-3</v>
      </c>
      <c r="AR181" s="232">
        <f>(AN181/$AN$171)^(1/COUNTA($B$171:$B180))-1</f>
        <v>4.1742539866967965E-2</v>
      </c>
      <c r="AS181" s="233"/>
      <c r="AT181" s="232">
        <f>(AO181/$AO$171)^(1/COUNTA($B$171:$B180))-1</f>
        <v>6.4856610812953575E-2</v>
      </c>
      <c r="AU181" s="183"/>
      <c r="AV181" s="183"/>
      <c r="AW181" s="183"/>
      <c r="AX181" s="183"/>
      <c r="AY181" s="183"/>
      <c r="AZ181" s="183"/>
      <c r="BG181" s="91"/>
      <c r="BQ181" s="172"/>
    </row>
    <row r="182" spans="1:77" ht="12" customHeight="1" collapsed="1">
      <c r="A182" s="215">
        <f t="shared" si="69"/>
        <v>4.6099376355281052E-2</v>
      </c>
      <c r="B182" s="225">
        <f>B181+365</f>
        <v>47483</v>
      </c>
      <c r="C182" s="226">
        <f t="shared" ref="C182:R182" si="89">AVERAGE(C143:C154)</f>
        <v>252867.5</v>
      </c>
      <c r="D182" s="227">
        <f t="shared" si="89"/>
        <v>205222.5</v>
      </c>
      <c r="E182" s="228">
        <f t="shared" si="89"/>
        <v>36882.633735351563</v>
      </c>
      <c r="F182" s="228">
        <f t="shared" si="89"/>
        <v>26512.5</v>
      </c>
      <c r="G182" s="228">
        <f t="shared" si="89"/>
        <v>13905.833333333334</v>
      </c>
      <c r="H182" s="228">
        <f t="shared" si="89"/>
        <v>540</v>
      </c>
      <c r="I182" s="228">
        <f t="shared" si="89"/>
        <v>719.16666666666663</v>
      </c>
      <c r="J182" s="228">
        <f t="shared" si="89"/>
        <v>7871.8779999999979</v>
      </c>
      <c r="K182" s="228">
        <f t="shared" si="89"/>
        <v>459.16666666666669</v>
      </c>
      <c r="L182" s="228">
        <f t="shared" si="89"/>
        <v>2580</v>
      </c>
      <c r="M182" s="228">
        <f t="shared" si="89"/>
        <v>390</v>
      </c>
      <c r="N182" s="228">
        <f t="shared" si="89"/>
        <v>290</v>
      </c>
      <c r="O182" s="228">
        <f t="shared" si="89"/>
        <v>1390</v>
      </c>
      <c r="P182" s="226">
        <f t="shared" si="89"/>
        <v>41277.43148920119</v>
      </c>
      <c r="Q182" s="228">
        <f t="shared" si="89"/>
        <v>17219.166666666668</v>
      </c>
      <c r="R182" s="228">
        <f t="shared" si="89"/>
        <v>6370</v>
      </c>
      <c r="S182" s="228"/>
      <c r="T182" s="228">
        <f t="shared" ref="T182:Z182" si="90">AVERAGE(T143:T154)</f>
        <v>0</v>
      </c>
      <c r="U182" s="226">
        <f t="shared" si="90"/>
        <v>8394.1666666666661</v>
      </c>
      <c r="V182" s="228">
        <f t="shared" si="90"/>
        <v>1500</v>
      </c>
      <c r="W182" s="228">
        <f t="shared" si="90"/>
        <v>35730</v>
      </c>
      <c r="X182" s="228">
        <f t="shared" si="90"/>
        <v>3000</v>
      </c>
      <c r="Y182" s="228">
        <f t="shared" si="90"/>
        <v>195</v>
      </c>
      <c r="Z182" s="226">
        <f t="shared" si="90"/>
        <v>47645</v>
      </c>
      <c r="AA182" s="229"/>
      <c r="AB182" s="228">
        <f t="shared" ref="AB182:AG182" si="91">AVERAGE(AB143:AB154)</f>
        <v>247.16666666666666</v>
      </c>
      <c r="AC182" s="228">
        <f t="shared" si="91"/>
        <v>7</v>
      </c>
      <c r="AD182" s="230">
        <f t="shared" si="91"/>
        <v>1.5</v>
      </c>
      <c r="AE182" s="226">
        <f t="shared" si="91"/>
        <v>45.916666666666664</v>
      </c>
      <c r="AF182" s="228">
        <f t="shared" si="91"/>
        <v>1612.1666666666667</v>
      </c>
      <c r="AG182" s="228">
        <f t="shared" si="91"/>
        <v>45.916666666666664</v>
      </c>
      <c r="AH182" s="211">
        <f t="shared" si="79"/>
        <v>1.0000000000000009E-2</v>
      </c>
      <c r="AI182" s="228">
        <f>AVERAGE(AI143:AI154)</f>
        <v>167.95967728209575</v>
      </c>
      <c r="AJ182" s="228">
        <f>AVERAGE(AJ143:AJ154)</f>
        <v>1199.1666666666667</v>
      </c>
      <c r="AK182" s="228">
        <f>AVERAGE(AK143:AK154)</f>
        <v>130</v>
      </c>
      <c r="AL182" s="228">
        <f>AVERAGE(AL143:AL154)</f>
        <v>1039.1666666666667</v>
      </c>
      <c r="AM182" s="211">
        <f t="shared" si="63"/>
        <v>9.7165991902834481E-3</v>
      </c>
      <c r="AN182" s="229">
        <f>AVERAGE(AN143:AN154)</f>
        <v>155360.34506868492</v>
      </c>
      <c r="AO182" s="229">
        <f>AVERAGE(AO143:AO154)</f>
        <v>97511.598155867876</v>
      </c>
      <c r="AP182" s="231">
        <f t="shared" si="64"/>
        <v>7.0301182355363645E-2</v>
      </c>
      <c r="AQ182" s="231">
        <f t="shared" si="64"/>
        <v>9.7112741811145042E-3</v>
      </c>
      <c r="AR182" s="232">
        <f>(AN182/$AN$171)^(1/COUNTA($B$171:$B181))-1</f>
        <v>4.4306981602269868E-2</v>
      </c>
      <c r="AS182" s="234"/>
      <c r="AT182" s="232">
        <f>(AO182/$AO$171)^(1/COUNTA($B$171:$B181))-1</f>
        <v>5.9721348861764056E-2</v>
      </c>
      <c r="BG182" s="91"/>
      <c r="BQ182" s="172"/>
    </row>
    <row r="183" spans="1:77" ht="12" customHeight="1">
      <c r="A183" s="215">
        <f t="shared" si="69"/>
        <v>9.5702294680020117E-3</v>
      </c>
      <c r="B183" s="225">
        <f>B182+365</f>
        <v>47848</v>
      </c>
      <c r="C183" s="226">
        <f t="shared" ref="C183:R183" si="92">AVERAGE(C155:C166)</f>
        <v>255287.5</v>
      </c>
      <c r="D183" s="227">
        <f t="shared" si="92"/>
        <v>207183.33333333334</v>
      </c>
      <c r="E183" s="228">
        <f t="shared" si="92"/>
        <v>37343.666657043446</v>
      </c>
      <c r="F183" s="228">
        <f t="shared" si="92"/>
        <v>26842.5</v>
      </c>
      <c r="G183" s="228">
        <f t="shared" si="92"/>
        <v>14075.833333333334</v>
      </c>
      <c r="H183" s="228">
        <f t="shared" si="92"/>
        <v>550</v>
      </c>
      <c r="I183" s="228">
        <f t="shared" si="92"/>
        <v>729.16666666666663</v>
      </c>
      <c r="J183" s="228">
        <f t="shared" si="92"/>
        <v>8108.0343399999992</v>
      </c>
      <c r="K183" s="228">
        <f t="shared" si="92"/>
        <v>469.16666666666669</v>
      </c>
      <c r="L183" s="228">
        <f t="shared" si="92"/>
        <v>2600</v>
      </c>
      <c r="M183" s="228">
        <f t="shared" si="92"/>
        <v>390</v>
      </c>
      <c r="N183" s="228">
        <f t="shared" si="92"/>
        <v>290</v>
      </c>
      <c r="O183" s="228">
        <f t="shared" si="92"/>
        <v>1400</v>
      </c>
      <c r="P183" s="226">
        <f t="shared" si="92"/>
        <v>41690.205804093202</v>
      </c>
      <c r="Q183" s="228">
        <f t="shared" si="92"/>
        <v>17391.666666666668</v>
      </c>
      <c r="R183" s="228">
        <f t="shared" si="92"/>
        <v>6420</v>
      </c>
      <c r="S183" s="228"/>
      <c r="T183" s="228">
        <f t="shared" ref="T183:Z183" si="93">AVERAGE(T155:T166)</f>
        <v>0</v>
      </c>
      <c r="U183" s="226">
        <f t="shared" si="93"/>
        <v>8464.1666666666661</v>
      </c>
      <c r="V183" s="228">
        <f t="shared" si="93"/>
        <v>1500</v>
      </c>
      <c r="W183" s="228">
        <f t="shared" si="93"/>
        <v>35730</v>
      </c>
      <c r="X183" s="228">
        <f t="shared" si="93"/>
        <v>3000</v>
      </c>
      <c r="Y183" s="228">
        <f t="shared" si="93"/>
        <v>195</v>
      </c>
      <c r="Z183" s="226">
        <f t="shared" si="93"/>
        <v>48104.166666666664</v>
      </c>
      <c r="AA183" s="229"/>
      <c r="AB183" s="228">
        <f t="shared" ref="AB183:AG183" si="94">AVERAGE(AB155:AB166)</f>
        <v>247.16666666666666</v>
      </c>
      <c r="AC183" s="228">
        <f t="shared" si="94"/>
        <v>7</v>
      </c>
      <c r="AD183" s="230">
        <f t="shared" si="94"/>
        <v>1.5</v>
      </c>
      <c r="AE183" s="226">
        <f t="shared" si="94"/>
        <v>45.916666666666664</v>
      </c>
      <c r="AF183" s="228">
        <f t="shared" si="94"/>
        <v>2163.1666666666665</v>
      </c>
      <c r="AG183" s="228">
        <f t="shared" si="94"/>
        <v>45.916666666666664</v>
      </c>
      <c r="AH183" s="211">
        <f t="shared" si="79"/>
        <v>1.0000000000000009E-2</v>
      </c>
      <c r="AI183" s="228">
        <f>AVERAGE(AI155:AI166)</f>
        <v>169.63927405491671</v>
      </c>
      <c r="AJ183" s="228">
        <f>AVERAGE(AJ155:AJ166)</f>
        <v>1209.1666666666667</v>
      </c>
      <c r="AK183" s="228">
        <f>AVERAGE(AK155:AK166)</f>
        <v>130</v>
      </c>
      <c r="AL183" s="228">
        <f>AVERAGE(AL155:AL166)</f>
        <v>1049.1666666666667</v>
      </c>
      <c r="AM183" s="211">
        <f t="shared" si="63"/>
        <v>9.6230954290297266E-3</v>
      </c>
      <c r="AN183" s="229">
        <f>AVERAGE(AN155:AN166)</f>
        <v>156840.0343303768</v>
      </c>
      <c r="AO183" s="229">
        <f>AVERAGE(AO155:AO166)</f>
        <v>98453.539137426545</v>
      </c>
      <c r="AP183" s="231">
        <f t="shared" si="64"/>
        <v>9.5242403139470522E-3</v>
      </c>
      <c r="AQ183" s="231">
        <f t="shared" si="64"/>
        <v>9.6597840602818952E-3</v>
      </c>
      <c r="AR183" s="232">
        <f>(AN183/$AN$171)^(1/COUNTA($B$171:$B182))-1</f>
        <v>4.1363206150199616E-2</v>
      </c>
      <c r="AS183" s="234"/>
      <c r="AT183" s="232">
        <f>(AO183/$AO$171)^(1/COUNTA($B$171:$B182))-1</f>
        <v>5.5456401136044775E-2</v>
      </c>
    </row>
    <row r="184" spans="1:77" ht="12" customHeight="1">
      <c r="AH184" s="235"/>
      <c r="AI184" s="235"/>
      <c r="AJ184" s="235"/>
      <c r="AK184" s="235"/>
      <c r="AL184" s="235"/>
      <c r="AQ184" s="126"/>
      <c r="AR184" s="126"/>
      <c r="AS184" s="126"/>
      <c r="AT184" s="205"/>
      <c r="AU184" s="205"/>
      <c r="AV184" s="205"/>
      <c r="AW184" s="205"/>
      <c r="AX184" s="205"/>
      <c r="AY184" s="205"/>
      <c r="AZ184" s="205"/>
      <c r="BA184" s="51"/>
      <c r="BK184" s="96"/>
      <c r="BL184" s="97"/>
      <c r="BM184" s="97"/>
      <c r="BN184" s="96"/>
      <c r="BO184" s="96"/>
      <c r="BP184" s="97"/>
      <c r="BQ184" s="97"/>
      <c r="BR184" s="97"/>
      <c r="BS184" s="97"/>
      <c r="BU184" s="113"/>
      <c r="BV184" s="113"/>
      <c r="BW184" s="113"/>
      <c r="BX184" s="113"/>
      <c r="BY184" s="113"/>
    </row>
    <row r="185" spans="1:77" ht="12" customHeight="1">
      <c r="B185" s="206">
        <f>B171</f>
        <v>43465</v>
      </c>
      <c r="C185" s="207">
        <f>SUM(C4:C14)</f>
        <v>1331550</v>
      </c>
      <c r="D185" s="208">
        <f t="shared" ref="D185:AO185" si="95">SUM(D4:D14)</f>
        <v>1307960</v>
      </c>
      <c r="E185" s="209">
        <f t="shared" si="95"/>
        <v>301866</v>
      </c>
      <c r="F185" s="209">
        <f t="shared" si="95"/>
        <v>235290</v>
      </c>
      <c r="G185" s="209">
        <f t="shared" si="95"/>
        <v>78710</v>
      </c>
      <c r="H185" s="209">
        <f t="shared" si="95"/>
        <v>5580</v>
      </c>
      <c r="I185" s="209">
        <f t="shared" si="95"/>
        <v>37390</v>
      </c>
      <c r="J185" s="209">
        <f t="shared" si="95"/>
        <v>86560</v>
      </c>
      <c r="K185" s="209">
        <f t="shared" si="95"/>
        <v>4410</v>
      </c>
      <c r="L185" s="209">
        <f t="shared" si="95"/>
        <v>6210</v>
      </c>
      <c r="M185" s="209">
        <f t="shared" si="95"/>
        <v>1980</v>
      </c>
      <c r="N185" s="209"/>
      <c r="O185" s="209">
        <f t="shared" si="95"/>
        <v>11520</v>
      </c>
      <c r="P185" s="207">
        <f t="shared" si="95"/>
        <v>157730</v>
      </c>
      <c r="Q185" s="209">
        <f t="shared" si="95"/>
        <v>13650</v>
      </c>
      <c r="R185" s="209">
        <f t="shared" si="95"/>
        <v>11450</v>
      </c>
      <c r="S185" s="209">
        <f t="shared" si="95"/>
        <v>22500</v>
      </c>
      <c r="T185" s="209">
        <f t="shared" si="95"/>
        <v>-24590</v>
      </c>
      <c r="U185" s="207">
        <f t="shared" si="95"/>
        <v>73650</v>
      </c>
      <c r="V185" s="209">
        <f t="shared" si="95"/>
        <v>-860</v>
      </c>
      <c r="W185" s="209">
        <f t="shared" si="95"/>
        <v>96079</v>
      </c>
      <c r="X185" s="209">
        <f t="shared" si="95"/>
        <v>0</v>
      </c>
      <c r="Y185" s="209">
        <f t="shared" si="95"/>
        <v>0</v>
      </c>
      <c r="Z185" s="207">
        <f t="shared" si="95"/>
        <v>23590</v>
      </c>
      <c r="AA185" s="89"/>
      <c r="AB185" s="209">
        <f t="shared" si="95"/>
        <v>1842</v>
      </c>
      <c r="AC185" s="209">
        <f t="shared" si="95"/>
        <v>79</v>
      </c>
      <c r="AD185" s="210"/>
      <c r="AE185" s="207">
        <f t="shared" si="95"/>
        <v>19.9679</v>
      </c>
      <c r="AF185" s="209">
        <f t="shared" si="95"/>
        <v>22</v>
      </c>
      <c r="AG185" s="209">
        <f t="shared" si="95"/>
        <v>16</v>
      </c>
      <c r="AH185" s="209"/>
      <c r="AI185" s="209">
        <f t="shared" si="95"/>
        <v>742.24692606500594</v>
      </c>
      <c r="AJ185" s="209">
        <f t="shared" si="95"/>
        <v>8436.3290043290035</v>
      </c>
      <c r="AK185" s="209">
        <f t="shared" si="95"/>
        <v>0</v>
      </c>
      <c r="AL185" s="209">
        <f t="shared" si="95"/>
        <v>5961.2486251582714</v>
      </c>
      <c r="AM185" s="89"/>
      <c r="AN185" s="89">
        <f t="shared" si="95"/>
        <v>867906</v>
      </c>
      <c r="AO185" s="89">
        <f t="shared" si="95"/>
        <v>463650</v>
      </c>
      <c r="AP185" s="216"/>
      <c r="AQ185" s="126"/>
      <c r="AR185" s="126"/>
      <c r="AS185" s="126"/>
      <c r="AT185" s="205"/>
      <c r="AU185" s="205"/>
      <c r="AV185" s="205"/>
      <c r="AW185" s="205"/>
      <c r="AX185" s="205"/>
      <c r="AY185" s="205"/>
      <c r="AZ185" s="205"/>
      <c r="BA185" s="51"/>
      <c r="BK185" s="96"/>
      <c r="BL185" s="97"/>
      <c r="BM185" s="97"/>
      <c r="BN185" s="96"/>
      <c r="BO185" s="96"/>
      <c r="BP185" s="97"/>
      <c r="BQ185" s="97"/>
      <c r="BR185" s="97"/>
      <c r="BS185" s="97"/>
      <c r="BU185" s="113"/>
      <c r="BV185" s="113"/>
      <c r="BW185" s="113"/>
      <c r="BX185" s="113"/>
      <c r="BY185" s="113"/>
    </row>
    <row r="186" spans="1:77" ht="12" customHeight="1">
      <c r="B186" s="206">
        <f>B172</f>
        <v>43830</v>
      </c>
      <c r="C186" s="207">
        <f>SUM(C15:C26)</f>
        <v>1980860</v>
      </c>
      <c r="D186" s="208">
        <f t="shared" ref="D186:AO186" si="96">SUM(D15:D26)</f>
        <v>1954120</v>
      </c>
      <c r="E186" s="209">
        <f t="shared" si="96"/>
        <v>403530</v>
      </c>
      <c r="F186" s="209">
        <f t="shared" si="96"/>
        <v>354910</v>
      </c>
      <c r="G186" s="209">
        <f t="shared" si="96"/>
        <v>119300</v>
      </c>
      <c r="H186" s="209">
        <f t="shared" si="96"/>
        <v>7440</v>
      </c>
      <c r="I186" s="209">
        <f t="shared" si="96"/>
        <v>49720</v>
      </c>
      <c r="J186" s="209">
        <f t="shared" si="96"/>
        <v>115320</v>
      </c>
      <c r="K186" s="209">
        <f t="shared" si="96"/>
        <v>5880</v>
      </c>
      <c r="L186" s="209">
        <f t="shared" si="96"/>
        <v>8490</v>
      </c>
      <c r="M186" s="209">
        <f t="shared" si="96"/>
        <v>2640</v>
      </c>
      <c r="N186" s="209"/>
      <c r="O186" s="209">
        <f t="shared" si="96"/>
        <v>15360</v>
      </c>
      <c r="P186" s="207">
        <f t="shared" si="96"/>
        <v>182440</v>
      </c>
      <c r="Q186" s="209">
        <f t="shared" si="96"/>
        <v>17360</v>
      </c>
      <c r="R186" s="209">
        <f t="shared" si="96"/>
        <v>14970</v>
      </c>
      <c r="S186" s="209">
        <f t="shared" si="96"/>
        <v>30000</v>
      </c>
      <c r="T186" s="209">
        <f t="shared" si="96"/>
        <v>-28670</v>
      </c>
      <c r="U186" s="207">
        <f t="shared" si="96"/>
        <v>65740</v>
      </c>
      <c r="V186" s="209">
        <f t="shared" si="96"/>
        <v>-130</v>
      </c>
      <c r="W186" s="209">
        <f t="shared" si="96"/>
        <v>144420</v>
      </c>
      <c r="X186" s="209">
        <f t="shared" si="96"/>
        <v>0</v>
      </c>
      <c r="Y186" s="209">
        <f t="shared" si="96"/>
        <v>0</v>
      </c>
      <c r="Z186" s="207">
        <f t="shared" si="96"/>
        <v>26740</v>
      </c>
      <c r="AA186" s="89"/>
      <c r="AB186" s="209">
        <f t="shared" si="96"/>
        <v>2115</v>
      </c>
      <c r="AC186" s="209">
        <f t="shared" si="96"/>
        <v>70</v>
      </c>
      <c r="AD186" s="210"/>
      <c r="AE186" s="207">
        <f t="shared" si="96"/>
        <v>20.376179999999998</v>
      </c>
      <c r="AF186" s="209">
        <f t="shared" si="96"/>
        <v>149</v>
      </c>
      <c r="AG186" s="209">
        <f t="shared" si="96"/>
        <v>21</v>
      </c>
      <c r="AH186" s="211"/>
      <c r="AI186" s="209">
        <f t="shared" si="96"/>
        <v>1003.820242175829</v>
      </c>
      <c r="AJ186" s="209">
        <f t="shared" si="96"/>
        <v>8468.75</v>
      </c>
      <c r="AK186" s="209">
        <f t="shared" si="96"/>
        <v>0</v>
      </c>
      <c r="AL186" s="209">
        <f t="shared" si="96"/>
        <v>7981.8520537449203</v>
      </c>
      <c r="AM186" s="211"/>
      <c r="AN186" s="89">
        <f t="shared" si="96"/>
        <v>1240890</v>
      </c>
      <c r="AO186" s="89">
        <f t="shared" si="96"/>
        <v>739970</v>
      </c>
      <c r="AP186" s="216"/>
      <c r="AQ186" s="126"/>
      <c r="AR186" s="126"/>
      <c r="AS186" s="126"/>
      <c r="AT186" s="205"/>
      <c r="AU186" s="205"/>
      <c r="AV186" s="205"/>
      <c r="AW186" s="205"/>
      <c r="AX186" s="205"/>
      <c r="AY186" s="205"/>
      <c r="AZ186" s="205"/>
      <c r="BA186" s="51"/>
      <c r="BK186" s="96"/>
      <c r="BL186" s="97"/>
      <c r="BM186" s="97"/>
      <c r="BN186" s="96"/>
      <c r="BO186" s="96"/>
      <c r="BP186" s="97"/>
      <c r="BQ186" s="97"/>
      <c r="BR186" s="97"/>
      <c r="BS186" s="97"/>
      <c r="BU186" s="113"/>
      <c r="BV186" s="113"/>
      <c r="BW186" s="113"/>
      <c r="BX186" s="113"/>
      <c r="BY186" s="113"/>
    </row>
    <row r="187" spans="1:77" ht="12" customHeight="1">
      <c r="B187" s="206">
        <f>B173</f>
        <v>44196</v>
      </c>
      <c r="C187" s="207">
        <f>SUM(C27:C38)</f>
        <v>2071360</v>
      </c>
      <c r="D187" s="208">
        <f t="shared" ref="D187:AO187" si="97">SUM(D27:D38)</f>
        <v>2031650</v>
      </c>
      <c r="E187" s="209">
        <f t="shared" si="97"/>
        <v>418980</v>
      </c>
      <c r="F187" s="209">
        <f t="shared" si="97"/>
        <v>368690</v>
      </c>
      <c r="G187" s="209">
        <f t="shared" si="97"/>
        <v>124380</v>
      </c>
      <c r="H187" s="209">
        <f t="shared" si="97"/>
        <v>7800</v>
      </c>
      <c r="I187" s="209">
        <f t="shared" si="97"/>
        <v>49550</v>
      </c>
      <c r="J187" s="209">
        <f t="shared" si="97"/>
        <v>115320</v>
      </c>
      <c r="K187" s="209">
        <f t="shared" si="97"/>
        <v>5880</v>
      </c>
      <c r="L187" s="209">
        <f t="shared" si="97"/>
        <v>9030</v>
      </c>
      <c r="M187" s="209">
        <f t="shared" si="97"/>
        <v>2640</v>
      </c>
      <c r="N187" s="209"/>
      <c r="O187" s="209">
        <f t="shared" si="97"/>
        <v>15360</v>
      </c>
      <c r="P187" s="207">
        <f t="shared" si="97"/>
        <v>208790</v>
      </c>
      <c r="Q187" s="209">
        <f t="shared" si="97"/>
        <v>18010</v>
      </c>
      <c r="R187" s="209">
        <f t="shared" si="97"/>
        <v>14320</v>
      </c>
      <c r="S187" s="209">
        <f t="shared" si="97"/>
        <v>22500</v>
      </c>
      <c r="T187" s="209">
        <f t="shared" si="97"/>
        <v>-26720</v>
      </c>
      <c r="U187" s="207">
        <f t="shared" si="97"/>
        <v>116680</v>
      </c>
      <c r="V187" s="209">
        <f t="shared" si="97"/>
        <v>1920</v>
      </c>
      <c r="W187" s="209">
        <f t="shared" si="97"/>
        <v>146040</v>
      </c>
      <c r="X187" s="209">
        <f t="shared" si="97"/>
        <v>0</v>
      </c>
      <c r="Y187" s="209">
        <f t="shared" si="97"/>
        <v>0</v>
      </c>
      <c r="Z187" s="207">
        <f t="shared" si="97"/>
        <v>39710</v>
      </c>
      <c r="AA187" s="89"/>
      <c r="AB187" s="209">
        <f t="shared" si="97"/>
        <v>2341</v>
      </c>
      <c r="AC187" s="209">
        <f t="shared" si="97"/>
        <v>126</v>
      </c>
      <c r="AD187" s="210"/>
      <c r="AE187" s="207">
        <f t="shared" si="97"/>
        <v>39.941099999999999</v>
      </c>
      <c r="AF187" s="209">
        <f t="shared" si="97"/>
        <v>333</v>
      </c>
      <c r="AG187" s="209">
        <f t="shared" si="97"/>
        <v>40</v>
      </c>
      <c r="AH187" s="211"/>
      <c r="AI187" s="209">
        <f t="shared" si="97"/>
        <v>1053.8903252145719</v>
      </c>
      <c r="AJ187" s="209">
        <f t="shared" si="97"/>
        <v>11058.139804639804</v>
      </c>
      <c r="AK187" s="209">
        <f t="shared" si="97"/>
        <v>0</v>
      </c>
      <c r="AL187" s="209">
        <f t="shared" si="97"/>
        <v>6095.0352171700288</v>
      </c>
      <c r="AM187" s="211"/>
      <c r="AN187" s="89">
        <f t="shared" si="97"/>
        <v>1270340</v>
      </c>
      <c r="AO187" s="89">
        <f t="shared" si="97"/>
        <v>801020</v>
      </c>
      <c r="AP187" s="216">
        <f t="shared" ref="AP187:AP197" si="98">C187/C186-1</f>
        <v>4.5687226760094068E-2</v>
      </c>
      <c r="AQ187" s="126"/>
      <c r="AR187" s="216">
        <f>(C187/$C$186)^(1/COUNTA($B$187:B187))-1</f>
        <v>4.5687226760094068E-2</v>
      </c>
      <c r="AS187" s="126"/>
      <c r="AT187" s="205"/>
      <c r="AU187" s="205"/>
      <c r="AV187" s="205"/>
      <c r="AW187" s="205"/>
      <c r="AX187" s="205"/>
      <c r="AY187" s="205" t="s">
        <v>35</v>
      </c>
      <c r="AZ187" s="205" t="s">
        <v>93</v>
      </c>
      <c r="BA187" s="51"/>
      <c r="BK187" s="96"/>
      <c r="BL187" s="97"/>
      <c r="BM187" s="97"/>
      <c r="BN187" s="96"/>
      <c r="BO187" s="96"/>
      <c r="BP187" s="97"/>
      <c r="BQ187" s="97"/>
      <c r="BR187" s="97"/>
      <c r="BS187" s="97"/>
      <c r="BU187" s="113"/>
      <c r="BV187" s="113"/>
      <c r="BW187" s="113"/>
      <c r="BX187" s="113"/>
      <c r="BY187" s="113"/>
    </row>
    <row r="188" spans="1:77" ht="12" customHeight="1">
      <c r="B188" s="206">
        <f>B174</f>
        <v>44561</v>
      </c>
      <c r="C188" s="207">
        <f>SUM(C39:C50)</f>
        <v>2067380</v>
      </c>
      <c r="D188" s="208">
        <f t="shared" ref="D188:AO188" si="99">SUM(D39:D50)</f>
        <v>2029950</v>
      </c>
      <c r="E188" s="209">
        <f t="shared" si="99"/>
        <v>441800</v>
      </c>
      <c r="F188" s="209">
        <f t="shared" si="99"/>
        <v>375630</v>
      </c>
      <c r="G188" s="209">
        <f t="shared" si="99"/>
        <v>129530</v>
      </c>
      <c r="H188" s="209">
        <f t="shared" si="99"/>
        <v>7920</v>
      </c>
      <c r="I188" s="209">
        <f t="shared" si="99"/>
        <v>49300</v>
      </c>
      <c r="J188" s="209">
        <f t="shared" si="99"/>
        <v>115320</v>
      </c>
      <c r="K188" s="209">
        <f t="shared" si="99"/>
        <v>5880</v>
      </c>
      <c r="L188" s="209">
        <f t="shared" si="99"/>
        <v>20090</v>
      </c>
      <c r="M188" s="209">
        <f t="shared" si="99"/>
        <v>2640</v>
      </c>
      <c r="N188" s="209"/>
      <c r="O188" s="209">
        <f t="shared" si="99"/>
        <v>15360</v>
      </c>
      <c r="P188" s="207">
        <f t="shared" si="99"/>
        <v>185900</v>
      </c>
      <c r="Q188" s="209">
        <f t="shared" si="99"/>
        <v>18360</v>
      </c>
      <c r="R188" s="209">
        <f t="shared" si="99"/>
        <v>14640</v>
      </c>
      <c r="S188" s="209"/>
      <c r="T188" s="209">
        <f t="shared" si="99"/>
        <v>-10410</v>
      </c>
      <c r="U188" s="207">
        <f t="shared" si="99"/>
        <v>114050</v>
      </c>
      <c r="V188" s="209">
        <f t="shared" si="99"/>
        <v>1480</v>
      </c>
      <c r="W188" s="209">
        <f t="shared" si="99"/>
        <v>235360</v>
      </c>
      <c r="X188" s="209">
        <f t="shared" si="99"/>
        <v>0</v>
      </c>
      <c r="Y188" s="209">
        <f t="shared" si="99"/>
        <v>0</v>
      </c>
      <c r="Z188" s="207">
        <f t="shared" si="99"/>
        <v>37430</v>
      </c>
      <c r="AA188" s="89"/>
      <c r="AB188" s="209">
        <f t="shared" si="99"/>
        <v>2205</v>
      </c>
      <c r="AC188" s="209">
        <f t="shared" si="99"/>
        <v>119</v>
      </c>
      <c r="AD188" s="210"/>
      <c r="AE188" s="207">
        <f t="shared" si="99"/>
        <v>38.925800000000002</v>
      </c>
      <c r="AF188" s="209">
        <f t="shared" si="99"/>
        <v>581</v>
      </c>
      <c r="AG188" s="209">
        <f t="shared" si="99"/>
        <v>39</v>
      </c>
      <c r="AH188" s="211"/>
      <c r="AI188" s="209">
        <f t="shared" si="99"/>
        <v>997.82401920776329</v>
      </c>
      <c r="AJ188" s="209">
        <f t="shared" si="99"/>
        <v>11484.638888888887</v>
      </c>
      <c r="AK188" s="209">
        <f t="shared" si="99"/>
        <v>0</v>
      </c>
      <c r="AL188" s="209">
        <f t="shared" si="99"/>
        <v>5808.0072002953912</v>
      </c>
      <c r="AM188" s="211"/>
      <c r="AN188" s="89">
        <f t="shared" si="99"/>
        <v>1417030</v>
      </c>
      <c r="AO188" s="89">
        <f t="shared" si="99"/>
        <v>650350</v>
      </c>
      <c r="AP188" s="216">
        <f t="shared" si="98"/>
        <v>-1.9214429167310199E-3</v>
      </c>
      <c r="AQ188" s="126"/>
      <c r="AR188" s="216">
        <f>(C188/$C$186)^(1/COUNTA($B$187:B188))-1</f>
        <v>2.1605598283956029E-2</v>
      </c>
      <c r="AS188" s="126"/>
      <c r="AT188" s="205"/>
      <c r="AU188" s="205"/>
      <c r="AV188" s="205"/>
      <c r="AW188" s="205"/>
      <c r="AX188" s="236" t="s">
        <v>94</v>
      </c>
      <c r="AY188" s="237">
        <f>SUM(AE94:AE98)</f>
        <v>445</v>
      </c>
      <c r="AZ188" s="237">
        <f>SUM(Z94:Z98)</f>
        <v>468340</v>
      </c>
      <c r="BA188" s="51"/>
      <c r="BK188" s="96"/>
      <c r="BL188" s="97"/>
      <c r="BM188" s="97"/>
      <c r="BN188" s="96"/>
      <c r="BO188" s="96"/>
      <c r="BP188" s="97"/>
      <c r="BQ188" s="97"/>
      <c r="BR188" s="97"/>
      <c r="BS188" s="97"/>
      <c r="BU188" s="113"/>
      <c r="BV188" s="113"/>
      <c r="BW188" s="113"/>
      <c r="BX188" s="113"/>
      <c r="BY188" s="113"/>
    </row>
    <row r="189" spans="1:77" ht="12" customHeight="1">
      <c r="A189" s="49"/>
      <c r="B189" s="206">
        <f>B175</f>
        <v>44926</v>
      </c>
      <c r="C189" s="207">
        <f t="shared" ref="C189:Z189" si="100">SUM(C57,C60:C70)</f>
        <v>2102370</v>
      </c>
      <c r="D189" s="208">
        <f t="shared" si="100"/>
        <v>1732930</v>
      </c>
      <c r="E189" s="209">
        <f t="shared" si="100"/>
        <v>316450</v>
      </c>
      <c r="F189" s="209">
        <f t="shared" si="100"/>
        <v>294510</v>
      </c>
      <c r="G189" s="209">
        <f t="shared" si="100"/>
        <v>159380</v>
      </c>
      <c r="H189" s="209">
        <f t="shared" si="100"/>
        <v>8480</v>
      </c>
      <c r="I189" s="209">
        <f t="shared" si="100"/>
        <v>15960</v>
      </c>
      <c r="J189" s="209">
        <f t="shared" si="100"/>
        <v>50410</v>
      </c>
      <c r="K189" s="209">
        <f t="shared" si="100"/>
        <v>6480</v>
      </c>
      <c r="L189" s="209">
        <f t="shared" si="100"/>
        <v>17900</v>
      </c>
      <c r="M189" s="209">
        <f t="shared" si="100"/>
        <v>1240</v>
      </c>
      <c r="N189" s="209">
        <f t="shared" si="100"/>
        <v>3020</v>
      </c>
      <c r="O189" s="209">
        <f t="shared" si="100"/>
        <v>9830</v>
      </c>
      <c r="P189" s="207">
        <f t="shared" si="100"/>
        <v>361230</v>
      </c>
      <c r="Q189" s="209">
        <f t="shared" si="100"/>
        <v>126910</v>
      </c>
      <c r="R189" s="209">
        <f t="shared" si="100"/>
        <v>40140</v>
      </c>
      <c r="S189" s="209">
        <f t="shared" si="100"/>
        <v>5000</v>
      </c>
      <c r="T189" s="209">
        <f t="shared" si="100"/>
        <v>-1340</v>
      </c>
      <c r="U189" s="207">
        <f t="shared" si="100"/>
        <v>112410</v>
      </c>
      <c r="V189" s="209">
        <f t="shared" si="100"/>
        <v>15680</v>
      </c>
      <c r="W189" s="209">
        <f t="shared" si="100"/>
        <v>147720</v>
      </c>
      <c r="X189" s="209">
        <f t="shared" si="100"/>
        <v>36000</v>
      </c>
      <c r="Y189" s="209">
        <f t="shared" si="100"/>
        <v>5520</v>
      </c>
      <c r="Z189" s="207">
        <f t="shared" si="100"/>
        <v>369440</v>
      </c>
      <c r="AA189" s="89"/>
      <c r="AB189" s="209">
        <f t="shared" ref="AB189:AG189" si="101">SUM(AB57,AB60:AB70)</f>
        <v>2790</v>
      </c>
      <c r="AC189" s="209">
        <f t="shared" si="101"/>
        <v>108</v>
      </c>
      <c r="AD189" s="210">
        <f t="shared" si="101"/>
        <v>42.949999999999996</v>
      </c>
      <c r="AE189" s="207">
        <f t="shared" si="101"/>
        <v>505</v>
      </c>
      <c r="AF189" s="209">
        <f t="shared" si="101"/>
        <v>23303</v>
      </c>
      <c r="AG189" s="209">
        <f t="shared" si="101"/>
        <v>556</v>
      </c>
      <c r="AH189" s="209"/>
      <c r="AI189" s="209">
        <f>SUM(AI57,AI60:AI70)</f>
        <v>1534.2600180152508</v>
      </c>
      <c r="AJ189" s="209">
        <f>SUM(AJ57,AJ60:AJ70)</f>
        <v>12510</v>
      </c>
      <c r="AK189" s="209">
        <f>SUM(AK57,AK60:AK70)</f>
        <v>1145.2841936615719</v>
      </c>
      <c r="AL189" s="209">
        <f>SUM(AL57,AL60:AL70)</f>
        <v>9949.3358160205444</v>
      </c>
      <c r="AM189" s="89"/>
      <c r="AN189" s="89">
        <f>SUM(AN57,AN60:AN70)</f>
        <v>1248770</v>
      </c>
      <c r="AO189" s="89">
        <f>SUM(AO57,AO60:AO70)</f>
        <v>853600</v>
      </c>
      <c r="AP189" s="216">
        <f t="shared" si="98"/>
        <v>1.6924803374319231E-2</v>
      </c>
      <c r="AQ189" s="126"/>
      <c r="AR189" s="216">
        <f>(C189/$C$186)^(1/COUNTA($B$187:B189))-1</f>
        <v>2.0042944287946618E-2</v>
      </c>
      <c r="AS189" s="126"/>
      <c r="AT189" s="205"/>
      <c r="AU189" s="205"/>
      <c r="AV189" s="205"/>
      <c r="AX189" s="236" t="s">
        <v>95</v>
      </c>
      <c r="AY189" s="237">
        <f>SUM(AE106:AE110)</f>
        <v>398</v>
      </c>
      <c r="AZ189" s="237">
        <f>SUM(Z106:Z110)</f>
        <v>421420</v>
      </c>
      <c r="BA189" s="51"/>
      <c r="BK189" s="96"/>
      <c r="BL189" s="97"/>
      <c r="BM189" s="97"/>
      <c r="BN189" s="96"/>
      <c r="BO189" s="96"/>
      <c r="BP189" s="97"/>
      <c r="BQ189" s="97"/>
      <c r="BR189" s="97"/>
      <c r="BS189" s="97"/>
      <c r="BU189" s="113"/>
      <c r="BV189" s="113"/>
      <c r="BW189" s="113"/>
      <c r="BX189" s="113"/>
      <c r="BY189" s="113"/>
    </row>
    <row r="190" spans="1:77" ht="12" customHeight="1">
      <c r="A190" s="49"/>
      <c r="B190" s="206">
        <f t="shared" ref="B190:B197" si="102">B176</f>
        <v>45291</v>
      </c>
      <c r="C190" s="207">
        <f t="shared" ref="C190:R190" si="103">SUM(C71:C82)</f>
        <v>2394000</v>
      </c>
      <c r="D190" s="208">
        <f t="shared" si="103"/>
        <v>1832230</v>
      </c>
      <c r="E190" s="209">
        <f t="shared" si="103"/>
        <v>319510</v>
      </c>
      <c r="F190" s="209">
        <f t="shared" si="103"/>
        <v>345830</v>
      </c>
      <c r="G190" s="209">
        <f t="shared" si="103"/>
        <v>156080</v>
      </c>
      <c r="H190" s="209">
        <f t="shared" si="103"/>
        <v>5400</v>
      </c>
      <c r="I190" s="209">
        <f t="shared" si="103"/>
        <v>15960</v>
      </c>
      <c r="J190" s="209">
        <f t="shared" si="103"/>
        <v>30230</v>
      </c>
      <c r="K190" s="209">
        <f t="shared" si="103"/>
        <v>6300</v>
      </c>
      <c r="L190" s="209">
        <f t="shared" si="103"/>
        <v>28960</v>
      </c>
      <c r="M190" s="209">
        <f t="shared" si="103"/>
        <v>1090</v>
      </c>
      <c r="N190" s="209">
        <f t="shared" si="103"/>
        <v>3120</v>
      </c>
      <c r="O190" s="209">
        <f t="shared" si="103"/>
        <v>9530</v>
      </c>
      <c r="P190" s="207">
        <f t="shared" si="103"/>
        <v>415460</v>
      </c>
      <c r="Q190" s="209">
        <f t="shared" si="103"/>
        <v>157660</v>
      </c>
      <c r="R190" s="209">
        <f t="shared" si="103"/>
        <v>40440</v>
      </c>
      <c r="S190" s="209"/>
      <c r="T190" s="209">
        <f t="shared" ref="T190:Z190" si="104">SUM(T71:T82)</f>
        <v>160</v>
      </c>
      <c r="U190" s="207">
        <f t="shared" si="104"/>
        <v>93950</v>
      </c>
      <c r="V190" s="209">
        <f t="shared" si="104"/>
        <v>16960</v>
      </c>
      <c r="W190" s="209">
        <f t="shared" si="104"/>
        <v>147720</v>
      </c>
      <c r="X190" s="209">
        <f t="shared" si="104"/>
        <v>36000</v>
      </c>
      <c r="Y190" s="209">
        <f t="shared" si="104"/>
        <v>1870</v>
      </c>
      <c r="Z190" s="207">
        <f t="shared" si="104"/>
        <v>561770</v>
      </c>
      <c r="AA190" s="89"/>
      <c r="AB190" s="209">
        <f t="shared" ref="AB190:AG190" si="105">SUM(AB71:AB82)</f>
        <v>2656</v>
      </c>
      <c r="AC190" s="209">
        <f t="shared" si="105"/>
        <v>83</v>
      </c>
      <c r="AD190" s="210">
        <f t="shared" si="105"/>
        <v>14.7</v>
      </c>
      <c r="AE190" s="207">
        <f t="shared" si="105"/>
        <v>588</v>
      </c>
      <c r="AF190" s="209">
        <f t="shared" si="105"/>
        <v>30185</v>
      </c>
      <c r="AG190" s="209">
        <f t="shared" si="105"/>
        <v>588</v>
      </c>
      <c r="AH190" s="211"/>
      <c r="AI190" s="209">
        <f>SUM(AI71:AI82)</f>
        <v>1864.7596135358542</v>
      </c>
      <c r="AJ190" s="209">
        <f>SUM(AJ71:AJ82)</f>
        <v>13600</v>
      </c>
      <c r="AK190" s="209">
        <f>SUM(AK71:AK82)</f>
        <v>1229.3834569313713</v>
      </c>
      <c r="AL190" s="209">
        <f>SUM(AL71:AL82)</f>
        <v>13107.924503034712</v>
      </c>
      <c r="AM190" s="211"/>
      <c r="AN190" s="89">
        <f>SUM(AN71:AN82)</f>
        <v>1321267.6719611993</v>
      </c>
      <c r="AO190" s="89">
        <f>SUM(AO71:AO82)</f>
        <v>1073290.0806146869</v>
      </c>
      <c r="AP190" s="216">
        <f t="shared" si="98"/>
        <v>0.13871487892235912</v>
      </c>
      <c r="AQ190" s="215"/>
      <c r="AR190" s="216">
        <f>(C190/$C$186)^(1/COUNTA($B$187:B190))-1</f>
        <v>4.8497962728588639E-2</v>
      </c>
      <c r="AS190" s="126"/>
      <c r="AT190" s="183"/>
      <c r="AU190" s="183"/>
      <c r="AV190" s="183"/>
      <c r="AW190" s="183"/>
      <c r="AX190" s="238" t="s">
        <v>96</v>
      </c>
      <c r="AY190" s="209">
        <f>AY189-AY188</f>
        <v>-47</v>
      </c>
      <c r="AZ190" s="209">
        <f>AZ189-AZ188</f>
        <v>-46920</v>
      </c>
      <c r="BA190" s="51"/>
      <c r="BB190" s="113"/>
      <c r="BO190" s="96"/>
      <c r="BP190" s="97"/>
      <c r="BQ190" s="97"/>
      <c r="BR190" s="97"/>
      <c r="BS190" s="97"/>
      <c r="BU190" s="113"/>
      <c r="BV190" s="113"/>
      <c r="BW190" s="113"/>
      <c r="BX190" s="113"/>
      <c r="BY190" s="113"/>
    </row>
    <row r="191" spans="1:77" ht="12" customHeight="1">
      <c r="A191" s="49"/>
      <c r="B191" s="206">
        <f t="shared" si="102"/>
        <v>45657</v>
      </c>
      <c r="C191" s="207">
        <f t="shared" ref="C191:R191" si="106">SUM(C83:C94)</f>
        <v>2383670</v>
      </c>
      <c r="D191" s="208">
        <f t="shared" si="106"/>
        <v>2008870</v>
      </c>
      <c r="E191" s="209">
        <f t="shared" si="106"/>
        <v>346090</v>
      </c>
      <c r="F191" s="209">
        <f t="shared" si="106"/>
        <v>324320</v>
      </c>
      <c r="G191" s="209">
        <f t="shared" si="106"/>
        <v>156060</v>
      </c>
      <c r="H191" s="209">
        <f t="shared" si="106"/>
        <v>5490</v>
      </c>
      <c r="I191" s="209">
        <f t="shared" si="106"/>
        <v>10020</v>
      </c>
      <c r="J191" s="209">
        <f t="shared" si="106"/>
        <v>66700</v>
      </c>
      <c r="K191" s="209">
        <f t="shared" si="106"/>
        <v>4900</v>
      </c>
      <c r="L191" s="209">
        <f t="shared" si="106"/>
        <v>25750</v>
      </c>
      <c r="M191" s="209">
        <f t="shared" si="106"/>
        <v>1080</v>
      </c>
      <c r="N191" s="209">
        <f t="shared" si="106"/>
        <v>3040</v>
      </c>
      <c r="O191" s="209">
        <f t="shared" si="106"/>
        <v>12880</v>
      </c>
      <c r="P191" s="207">
        <f t="shared" si="106"/>
        <v>445170</v>
      </c>
      <c r="Q191" s="209">
        <f t="shared" si="106"/>
        <v>201380</v>
      </c>
      <c r="R191" s="209">
        <f t="shared" si="106"/>
        <v>55840</v>
      </c>
      <c r="S191" s="209"/>
      <c r="T191" s="209">
        <f t="shared" ref="T191:Z191" si="107">SUM(T83:T94)</f>
        <v>0</v>
      </c>
      <c r="U191" s="207">
        <f t="shared" si="107"/>
        <v>93150</v>
      </c>
      <c r="V191" s="209">
        <f t="shared" si="107"/>
        <v>17660</v>
      </c>
      <c r="W191" s="209">
        <f t="shared" si="107"/>
        <v>201640</v>
      </c>
      <c r="X191" s="209">
        <f t="shared" si="107"/>
        <v>36000</v>
      </c>
      <c r="Y191" s="209">
        <f t="shared" si="107"/>
        <v>1700</v>
      </c>
      <c r="Z191" s="207">
        <f t="shared" si="107"/>
        <v>374800</v>
      </c>
      <c r="AA191" s="89"/>
      <c r="AB191" s="209">
        <f t="shared" ref="AB191:AG191" si="108">SUM(AB83:AB94)</f>
        <v>2911</v>
      </c>
      <c r="AC191" s="209">
        <f t="shared" si="108"/>
        <v>81</v>
      </c>
      <c r="AD191" s="210">
        <f t="shared" si="108"/>
        <v>13.6</v>
      </c>
      <c r="AE191" s="207">
        <f t="shared" si="108"/>
        <v>364.98</v>
      </c>
      <c r="AF191" s="209">
        <f t="shared" si="108"/>
        <v>35281.399999999994</v>
      </c>
      <c r="AG191" s="209">
        <f t="shared" si="108"/>
        <v>364</v>
      </c>
      <c r="AH191" s="211"/>
      <c r="AI191" s="209">
        <f>SUM(AI83:AI94)</f>
        <v>1827.7216981360252</v>
      </c>
      <c r="AJ191" s="209">
        <f>SUM(AJ83:AJ94)</f>
        <v>13800</v>
      </c>
      <c r="AK191" s="209">
        <f>SUM(AK83:AK94)</f>
        <v>990.31893413835985</v>
      </c>
      <c r="AL191" s="209">
        <f>SUM(AL83:AL94)</f>
        <v>18173.689647073104</v>
      </c>
      <c r="AM191" s="211"/>
      <c r="AN191" s="89">
        <f>SUM(AN83:AN94)</f>
        <v>1468850</v>
      </c>
      <c r="AO191" s="89">
        <f>SUM(AO83:AO94)</f>
        <v>914820</v>
      </c>
      <c r="AP191" s="216">
        <f t="shared" si="98"/>
        <v>-4.3149540517961604E-3</v>
      </c>
      <c r="AQ191" s="215"/>
      <c r="AR191" s="216">
        <f>(C191/$C$186)^(1/COUNTA($B$187:B191))-1</f>
        <v>3.7715896609981758E-2</v>
      </c>
      <c r="AS191" s="126"/>
      <c r="AT191" s="183"/>
      <c r="AU191" s="183"/>
      <c r="AV191" s="183"/>
      <c r="AW191" s="183"/>
      <c r="AX191" s="183"/>
      <c r="AY191" s="183"/>
      <c r="AZ191" s="183"/>
      <c r="BA191" s="51"/>
      <c r="BB191" s="113"/>
      <c r="BC191" s="170"/>
      <c r="BD191" s="171"/>
      <c r="BE191" s="171"/>
      <c r="BF191" s="91"/>
      <c r="BG191" s="91"/>
      <c r="BH191" s="172"/>
      <c r="BJ191" s="91"/>
      <c r="BK191" s="91"/>
      <c r="BL191" s="96"/>
      <c r="BM191" s="97"/>
      <c r="BN191" s="97"/>
      <c r="BO191" s="96"/>
      <c r="BP191" s="97"/>
      <c r="BQ191" s="97"/>
      <c r="BR191" s="97"/>
      <c r="BS191" s="97"/>
      <c r="BU191" s="113"/>
      <c r="BV191" s="113"/>
      <c r="BW191" s="113"/>
      <c r="BX191" s="113"/>
      <c r="BY191" s="113"/>
    </row>
    <row r="192" spans="1:77" ht="12" customHeight="1">
      <c r="A192" s="49"/>
      <c r="B192" s="206">
        <f t="shared" si="102"/>
        <v>46022</v>
      </c>
      <c r="C192" s="207">
        <f t="shared" ref="C192:R192" si="109">SUM(C95:C106)</f>
        <v>2653300</v>
      </c>
      <c r="D192" s="208">
        <f t="shared" si="109"/>
        <v>2134760</v>
      </c>
      <c r="E192" s="209">
        <f t="shared" si="109"/>
        <v>377600</v>
      </c>
      <c r="F192" s="209">
        <f t="shared" si="109"/>
        <v>295690</v>
      </c>
      <c r="G192" s="209">
        <f t="shared" si="109"/>
        <v>157240</v>
      </c>
      <c r="H192" s="209">
        <f t="shared" si="109"/>
        <v>5860</v>
      </c>
      <c r="I192" s="209">
        <f t="shared" si="109"/>
        <v>7740</v>
      </c>
      <c r="J192" s="209">
        <f t="shared" si="109"/>
        <v>86010</v>
      </c>
      <c r="K192" s="209">
        <f t="shared" si="109"/>
        <v>4920</v>
      </c>
      <c r="L192" s="209">
        <f t="shared" si="109"/>
        <v>32920</v>
      </c>
      <c r="M192" s="209">
        <f t="shared" si="109"/>
        <v>2120</v>
      </c>
      <c r="N192" s="209">
        <f t="shared" si="109"/>
        <v>3480</v>
      </c>
      <c r="O192" s="209">
        <f t="shared" si="109"/>
        <v>12640</v>
      </c>
      <c r="P192" s="207">
        <f t="shared" si="109"/>
        <v>472600</v>
      </c>
      <c r="Q192" s="209">
        <f t="shared" si="109"/>
        <v>225280</v>
      </c>
      <c r="R192" s="209">
        <f t="shared" si="109"/>
        <v>71410</v>
      </c>
      <c r="S192" s="209"/>
      <c r="T192" s="209">
        <f t="shared" ref="T192:Z192" si="110">SUM(T95:T106)</f>
        <v>0</v>
      </c>
      <c r="U192" s="207">
        <f t="shared" si="110"/>
        <v>95450</v>
      </c>
      <c r="V192" s="209">
        <f t="shared" si="110"/>
        <v>17560</v>
      </c>
      <c r="W192" s="209">
        <f t="shared" si="110"/>
        <v>228600</v>
      </c>
      <c r="X192" s="209">
        <f t="shared" si="110"/>
        <v>36000</v>
      </c>
      <c r="Y192" s="209">
        <f t="shared" si="110"/>
        <v>1640</v>
      </c>
      <c r="Z192" s="207">
        <f t="shared" si="110"/>
        <v>518540</v>
      </c>
      <c r="AA192" s="89"/>
      <c r="AB192" s="209">
        <f t="shared" ref="AB192:AG192" si="111">SUM(AB95:AB106)</f>
        <v>3127</v>
      </c>
      <c r="AC192" s="209">
        <f t="shared" si="111"/>
        <v>83</v>
      </c>
      <c r="AD192" s="210">
        <f t="shared" si="111"/>
        <v>13.35</v>
      </c>
      <c r="AE192" s="207">
        <f t="shared" si="111"/>
        <v>487</v>
      </c>
      <c r="AF192" s="209">
        <f t="shared" si="111"/>
        <v>40834</v>
      </c>
      <c r="AG192" s="209">
        <f t="shared" si="111"/>
        <v>487</v>
      </c>
      <c r="AH192" s="211"/>
      <c r="AI192" s="209">
        <f>SUM(AI95:AI106)</f>
        <v>1797.7868975600536</v>
      </c>
      <c r="AJ192" s="209">
        <f>SUM(AJ95:AJ106)</f>
        <v>13800</v>
      </c>
      <c r="AK192" s="209">
        <f>SUM(AK95:AK106)</f>
        <v>977.26597663788095</v>
      </c>
      <c r="AL192" s="209">
        <f>SUM(AL95:AL106)</f>
        <v>14963.234391133345</v>
      </c>
      <c r="AM192" s="211"/>
      <c r="AN192" s="89">
        <f>SUM(AN95:AN106)</f>
        <v>1565070</v>
      </c>
      <c r="AO192" s="89">
        <f>SUM(AO95:AO106)</f>
        <v>1088230</v>
      </c>
      <c r="AP192" s="216">
        <f t="shared" si="98"/>
        <v>0.11311548997973708</v>
      </c>
      <c r="AQ192" s="215"/>
      <c r="AR192" s="216">
        <f>(C192/$C$186)^(1/COUNTA($B$187:B192))-1</f>
        <v>4.9918115344653513E-2</v>
      </c>
      <c r="AS192" s="126"/>
      <c r="AT192" s="183"/>
      <c r="AU192" s="183"/>
      <c r="AV192" s="183"/>
      <c r="AW192" s="183"/>
      <c r="AX192" s="183"/>
      <c r="AY192" s="183"/>
      <c r="AZ192" s="239"/>
      <c r="BA192" s="51"/>
      <c r="BB192" s="113"/>
      <c r="BC192" s="170"/>
      <c r="BD192" s="171"/>
      <c r="BE192" s="171"/>
      <c r="BF192" s="91"/>
      <c r="BG192" s="91"/>
      <c r="BH192" s="172"/>
      <c r="BJ192" s="91"/>
      <c r="BK192" s="91"/>
      <c r="BL192" s="96"/>
      <c r="BM192" s="97"/>
      <c r="BN192" s="97"/>
      <c r="BO192" s="96"/>
      <c r="BP192" s="97"/>
      <c r="BQ192" s="97"/>
      <c r="BR192" s="97"/>
      <c r="BS192" s="97"/>
      <c r="BU192" s="113"/>
      <c r="BV192" s="113"/>
      <c r="BW192" s="113"/>
      <c r="BX192" s="113"/>
      <c r="BY192" s="113"/>
    </row>
    <row r="193" spans="1:69" ht="12" customHeight="1">
      <c r="A193" s="49"/>
      <c r="B193" s="217">
        <f t="shared" si="102"/>
        <v>46387</v>
      </c>
      <c r="C193" s="218">
        <f t="shared" ref="C193:R193" si="112">SUM(C107:C118)</f>
        <v>2701665</v>
      </c>
      <c r="D193" s="219">
        <f t="shared" si="112"/>
        <v>2170050</v>
      </c>
      <c r="E193" s="198">
        <f t="shared" si="112"/>
        <v>412290</v>
      </c>
      <c r="F193" s="198">
        <f t="shared" si="112"/>
        <v>301920</v>
      </c>
      <c r="G193" s="198">
        <f t="shared" si="112"/>
        <v>163990</v>
      </c>
      <c r="H193" s="198">
        <f t="shared" si="112"/>
        <v>5640</v>
      </c>
      <c r="I193" s="198">
        <f t="shared" si="112"/>
        <v>7930</v>
      </c>
      <c r="J193" s="198">
        <f t="shared" si="112"/>
        <v>69950</v>
      </c>
      <c r="K193" s="198">
        <f t="shared" si="112"/>
        <v>5020</v>
      </c>
      <c r="L193" s="198">
        <f t="shared" si="112"/>
        <v>33040</v>
      </c>
      <c r="M193" s="198">
        <f t="shared" si="112"/>
        <v>5340</v>
      </c>
      <c r="N193" s="198">
        <f t="shared" si="112"/>
        <v>3480</v>
      </c>
      <c r="O193" s="198">
        <f t="shared" si="112"/>
        <v>14880</v>
      </c>
      <c r="P193" s="218">
        <f t="shared" si="112"/>
        <v>411680</v>
      </c>
      <c r="Q193" s="198">
        <f t="shared" si="112"/>
        <v>218280</v>
      </c>
      <c r="R193" s="198">
        <f t="shared" si="112"/>
        <v>69180</v>
      </c>
      <c r="S193" s="198"/>
      <c r="T193" s="198">
        <f t="shared" ref="T193:Z193" si="113">SUM(T107:T118)</f>
        <v>0</v>
      </c>
      <c r="U193" s="218">
        <f t="shared" si="113"/>
        <v>94300</v>
      </c>
      <c r="V193" s="198">
        <f t="shared" si="113"/>
        <v>23160</v>
      </c>
      <c r="W193" s="198">
        <f t="shared" si="113"/>
        <v>292120</v>
      </c>
      <c r="X193" s="198">
        <f t="shared" si="113"/>
        <v>36000</v>
      </c>
      <c r="Y193" s="198">
        <f t="shared" si="113"/>
        <v>1875</v>
      </c>
      <c r="Z193" s="218">
        <f t="shared" si="113"/>
        <v>531615</v>
      </c>
      <c r="AA193" s="197"/>
      <c r="AB193" s="198">
        <f t="shared" ref="AB193:AG193" si="114">SUM(AB107:AB118)</f>
        <v>2809</v>
      </c>
      <c r="AC193" s="198">
        <f t="shared" si="114"/>
        <v>82</v>
      </c>
      <c r="AD193" s="220">
        <f t="shared" si="114"/>
        <v>14.6</v>
      </c>
      <c r="AE193" s="218">
        <f t="shared" si="114"/>
        <v>434</v>
      </c>
      <c r="AF193" s="198">
        <f t="shared" si="114"/>
        <v>19038</v>
      </c>
      <c r="AG193" s="198">
        <f t="shared" si="114"/>
        <v>446</v>
      </c>
      <c r="AH193" s="221"/>
      <c r="AI193" s="198">
        <f>SUM(AI107:AI118)</f>
        <v>1893.6820921952815</v>
      </c>
      <c r="AJ193" s="198">
        <f>SUM(AJ107:AJ118)</f>
        <v>13800</v>
      </c>
      <c r="AK193" s="198">
        <f>SUM(AK107:AK118)</f>
        <v>1283.1819179284616</v>
      </c>
      <c r="AL193" s="198">
        <f>SUM(AL107:AL118)</f>
        <v>18730.416477794788</v>
      </c>
      <c r="AM193" s="221"/>
      <c r="AN193" s="197">
        <f>SUM(AN107:AN118)</f>
        <v>1662220</v>
      </c>
      <c r="AO193" s="197">
        <f>SUM(AO107:AO118)</f>
        <v>1039470</v>
      </c>
      <c r="AP193" s="216">
        <f t="shared" si="98"/>
        <v>1.8228244073418054E-2</v>
      </c>
      <c r="AQ193" s="175"/>
      <c r="AR193" s="240">
        <f>(C193/$C$186)^(1/COUNTA($B$187:B193))-1</f>
        <v>4.5331311217826631E-2</v>
      </c>
      <c r="AS193" s="126"/>
      <c r="AT193" s="183"/>
      <c r="AU193" s="183"/>
      <c r="AV193" s="183"/>
      <c r="AW193" s="183"/>
      <c r="AX193" s="183"/>
      <c r="AY193" s="183"/>
      <c r="AZ193" s="183"/>
      <c r="BG193" s="91"/>
      <c r="BQ193" s="172"/>
    </row>
    <row r="194" spans="1:69" ht="12" customHeight="1">
      <c r="A194" s="49"/>
      <c r="B194" s="225">
        <f t="shared" si="102"/>
        <v>46752</v>
      </c>
      <c r="C194" s="226">
        <f t="shared" ref="C194:R194" si="115">SUM(C119:C130)</f>
        <v>2872190</v>
      </c>
      <c r="D194" s="227">
        <f t="shared" si="115"/>
        <v>2311470</v>
      </c>
      <c r="E194" s="228">
        <f t="shared" si="115"/>
        <v>431730.875</v>
      </c>
      <c r="F194" s="228">
        <f t="shared" si="115"/>
        <v>310360</v>
      </c>
      <c r="G194" s="228">
        <f t="shared" si="115"/>
        <v>162790</v>
      </c>
      <c r="H194" s="228">
        <f t="shared" si="115"/>
        <v>6240</v>
      </c>
      <c r="I194" s="228">
        <f t="shared" si="115"/>
        <v>8390</v>
      </c>
      <c r="J194" s="228">
        <f t="shared" si="115"/>
        <v>89040</v>
      </c>
      <c r="K194" s="228">
        <f t="shared" si="115"/>
        <v>5270</v>
      </c>
      <c r="L194" s="228">
        <f t="shared" si="115"/>
        <v>30480</v>
      </c>
      <c r="M194" s="228">
        <f t="shared" si="115"/>
        <v>4680</v>
      </c>
      <c r="N194" s="228">
        <f t="shared" si="115"/>
        <v>3480</v>
      </c>
      <c r="O194" s="228">
        <f t="shared" si="115"/>
        <v>16440</v>
      </c>
      <c r="P194" s="226">
        <f t="shared" si="115"/>
        <v>485569.23622234521</v>
      </c>
      <c r="Q194" s="228">
        <f t="shared" si="115"/>
        <v>202560</v>
      </c>
      <c r="R194" s="228">
        <f t="shared" si="115"/>
        <v>75240</v>
      </c>
      <c r="S194" s="228"/>
      <c r="T194" s="228">
        <f t="shared" ref="T194:Z194" si="116">SUM(T119:T130)</f>
        <v>0</v>
      </c>
      <c r="U194" s="226">
        <f t="shared" si="116"/>
        <v>99050</v>
      </c>
      <c r="V194" s="228">
        <f t="shared" si="116"/>
        <v>18000</v>
      </c>
      <c r="W194" s="228">
        <f t="shared" si="116"/>
        <v>323880</v>
      </c>
      <c r="X194" s="228">
        <f t="shared" si="116"/>
        <v>36000</v>
      </c>
      <c r="Y194" s="228">
        <f t="shared" si="116"/>
        <v>2340</v>
      </c>
      <c r="Z194" s="226">
        <f t="shared" si="116"/>
        <v>560720</v>
      </c>
      <c r="AA194" s="229"/>
      <c r="AB194" s="228">
        <f t="shared" ref="AB194:AG194" si="117">SUM(AB119:AB130)</f>
        <v>2966</v>
      </c>
      <c r="AC194" s="228">
        <f t="shared" si="117"/>
        <v>84</v>
      </c>
      <c r="AD194" s="230">
        <f t="shared" si="117"/>
        <v>18</v>
      </c>
      <c r="AE194" s="226">
        <f t="shared" si="117"/>
        <v>551</v>
      </c>
      <c r="AF194" s="228">
        <f t="shared" si="117"/>
        <v>6122</v>
      </c>
      <c r="AG194" s="228">
        <f t="shared" si="117"/>
        <v>551</v>
      </c>
      <c r="AH194" s="211"/>
      <c r="AI194" s="228">
        <f>SUM(AI119:AI130)</f>
        <v>1975.8024971915979</v>
      </c>
      <c r="AJ194" s="228">
        <f>SUM(AJ119:AJ130)</f>
        <v>14150</v>
      </c>
      <c r="AK194" s="228">
        <f>SUM(AK119:AK130)</f>
        <v>1560</v>
      </c>
      <c r="AL194" s="228">
        <f>SUM(AL119:AL130)</f>
        <v>12230</v>
      </c>
      <c r="AM194" s="211"/>
      <c r="AN194" s="229">
        <f>SUM(AN119:AN130)</f>
        <v>1724580.875</v>
      </c>
      <c r="AO194" s="229">
        <f>SUM(AO119:AO130)</f>
        <v>1147679.2362223454</v>
      </c>
      <c r="AP194" s="216">
        <f t="shared" si="98"/>
        <v>6.311848434206313E-2</v>
      </c>
      <c r="AQ194" s="175"/>
      <c r="AR194" s="216">
        <f>(C194/$C$186)^(1/COUNTA($B$187:B194))-1</f>
        <v>4.7538329856565475E-2</v>
      </c>
      <c r="AS194" s="126"/>
      <c r="AT194" s="183"/>
      <c r="AU194" s="183"/>
      <c r="AV194" s="183"/>
      <c r="AW194" s="183"/>
      <c r="AY194" s="183"/>
      <c r="AZ194" s="183"/>
      <c r="BG194" s="91"/>
      <c r="BQ194" s="172"/>
    </row>
    <row r="195" spans="1:69" ht="12" customHeight="1">
      <c r="A195" s="49"/>
      <c r="B195" s="225">
        <f t="shared" si="102"/>
        <v>47118</v>
      </c>
      <c r="C195" s="226">
        <f t="shared" ref="C195:R195" si="118">SUM(C131:C142)</f>
        <v>2900690</v>
      </c>
      <c r="D195" s="227">
        <f t="shared" si="118"/>
        <v>2334460</v>
      </c>
      <c r="E195" s="228">
        <f t="shared" si="118"/>
        <v>437127.51093749987</v>
      </c>
      <c r="F195" s="228">
        <f t="shared" si="118"/>
        <v>314200</v>
      </c>
      <c r="G195" s="228">
        <f t="shared" si="118"/>
        <v>164830</v>
      </c>
      <c r="H195" s="228">
        <f t="shared" si="118"/>
        <v>6360</v>
      </c>
      <c r="I195" s="228">
        <f t="shared" si="118"/>
        <v>8510</v>
      </c>
      <c r="J195" s="228">
        <f t="shared" si="118"/>
        <v>91711.200000000012</v>
      </c>
      <c r="K195" s="228">
        <f t="shared" si="118"/>
        <v>5390</v>
      </c>
      <c r="L195" s="228">
        <f t="shared" si="118"/>
        <v>30720</v>
      </c>
      <c r="M195" s="228">
        <f t="shared" si="118"/>
        <v>4680</v>
      </c>
      <c r="N195" s="228">
        <f t="shared" si="118"/>
        <v>3480</v>
      </c>
      <c r="O195" s="228">
        <f t="shared" si="118"/>
        <v>16560</v>
      </c>
      <c r="P195" s="226">
        <f t="shared" si="118"/>
        <v>490424.92858456861</v>
      </c>
      <c r="Q195" s="228">
        <f t="shared" si="118"/>
        <v>204580</v>
      </c>
      <c r="R195" s="228">
        <f t="shared" si="118"/>
        <v>75840</v>
      </c>
      <c r="S195" s="228"/>
      <c r="T195" s="228">
        <f t="shared" ref="T195:Z195" si="119">SUM(T131:T142)</f>
        <v>0</v>
      </c>
      <c r="U195" s="226">
        <f t="shared" si="119"/>
        <v>99890</v>
      </c>
      <c r="V195" s="228">
        <f t="shared" si="119"/>
        <v>18000</v>
      </c>
      <c r="W195" s="228">
        <f t="shared" si="119"/>
        <v>323880</v>
      </c>
      <c r="X195" s="228">
        <f t="shared" si="119"/>
        <v>36000</v>
      </c>
      <c r="Y195" s="228">
        <f t="shared" si="119"/>
        <v>2340</v>
      </c>
      <c r="Z195" s="226">
        <f t="shared" si="119"/>
        <v>566230</v>
      </c>
      <c r="AA195" s="229"/>
      <c r="AB195" s="228">
        <f t="shared" ref="AB195:AG195" si="120">SUM(AB131:AB142)</f>
        <v>2966</v>
      </c>
      <c r="AC195" s="228">
        <f t="shared" si="120"/>
        <v>84</v>
      </c>
      <c r="AD195" s="230">
        <f t="shared" si="120"/>
        <v>18</v>
      </c>
      <c r="AE195" s="226">
        <f t="shared" si="120"/>
        <v>551</v>
      </c>
      <c r="AF195" s="228">
        <f t="shared" si="120"/>
        <v>12734</v>
      </c>
      <c r="AG195" s="228">
        <f t="shared" si="120"/>
        <v>551</v>
      </c>
      <c r="AH195" s="211"/>
      <c r="AI195" s="228">
        <f>SUM(AI131:AI142)</f>
        <v>1995.5605221635137</v>
      </c>
      <c r="AJ195" s="228">
        <f>SUM(AJ131:AJ142)</f>
        <v>14270</v>
      </c>
      <c r="AK195" s="228">
        <f>SUM(AK131:AK142)</f>
        <v>1560</v>
      </c>
      <c r="AL195" s="228">
        <f>SUM(AL131:AL142)</f>
        <v>12350</v>
      </c>
      <c r="AM195" s="211"/>
      <c r="AN195" s="229">
        <f>SUM(AN131:AN142)</f>
        <v>1741868.7109374998</v>
      </c>
      <c r="AO195" s="229">
        <f>SUM(AO131:AO142)</f>
        <v>1158884.9285845684</v>
      </c>
      <c r="AP195" s="216">
        <f t="shared" si="98"/>
        <v>9.9227418798895073E-3</v>
      </c>
      <c r="AQ195" s="175"/>
      <c r="AR195" s="216">
        <f>(C195/$C$186)^(1/COUNTA($B$187:B195))-1</f>
        <v>4.3290569475257001E-2</v>
      </c>
      <c r="AS195" s="126"/>
      <c r="AT195" s="183"/>
      <c r="AU195" s="183"/>
      <c r="AV195" s="183"/>
      <c r="AW195" s="183"/>
      <c r="AX195" s="241" t="s">
        <v>97</v>
      </c>
      <c r="AY195" s="183"/>
      <c r="AZ195" s="183"/>
      <c r="BG195" s="91"/>
      <c r="BQ195" s="172"/>
    </row>
    <row r="196" spans="1:69" ht="12" customHeight="1">
      <c r="A196" s="49"/>
      <c r="B196" s="225">
        <f t="shared" si="102"/>
        <v>47483</v>
      </c>
      <c r="C196" s="226">
        <f t="shared" ref="C196:R196" si="121">SUM(C143:C154)</f>
        <v>3034410</v>
      </c>
      <c r="D196" s="227">
        <f t="shared" si="121"/>
        <v>2462670</v>
      </c>
      <c r="E196" s="228">
        <f t="shared" si="121"/>
        <v>442591.60482421878</v>
      </c>
      <c r="F196" s="228">
        <f t="shared" si="121"/>
        <v>318150</v>
      </c>
      <c r="G196" s="228">
        <f t="shared" si="121"/>
        <v>166870</v>
      </c>
      <c r="H196" s="228">
        <f t="shared" si="121"/>
        <v>6480</v>
      </c>
      <c r="I196" s="228">
        <f t="shared" si="121"/>
        <v>8630</v>
      </c>
      <c r="J196" s="228">
        <f t="shared" si="121"/>
        <v>94462.535999999978</v>
      </c>
      <c r="K196" s="228">
        <f t="shared" si="121"/>
        <v>5510</v>
      </c>
      <c r="L196" s="228">
        <f t="shared" si="121"/>
        <v>30960</v>
      </c>
      <c r="M196" s="228">
        <f t="shared" si="121"/>
        <v>4680</v>
      </c>
      <c r="N196" s="228">
        <f t="shared" si="121"/>
        <v>3480</v>
      </c>
      <c r="O196" s="228">
        <f t="shared" si="121"/>
        <v>16680</v>
      </c>
      <c r="P196" s="226">
        <f t="shared" si="121"/>
        <v>495329.17787041428</v>
      </c>
      <c r="Q196" s="228">
        <f t="shared" si="121"/>
        <v>206630</v>
      </c>
      <c r="R196" s="228">
        <f t="shared" si="121"/>
        <v>76440</v>
      </c>
      <c r="S196" s="228"/>
      <c r="T196" s="228">
        <f t="shared" ref="T196:Z196" si="122">SUM(T143:T154)</f>
        <v>0</v>
      </c>
      <c r="U196" s="226">
        <f t="shared" si="122"/>
        <v>100730</v>
      </c>
      <c r="V196" s="228">
        <f t="shared" si="122"/>
        <v>18000</v>
      </c>
      <c r="W196" s="228">
        <f t="shared" si="122"/>
        <v>428760</v>
      </c>
      <c r="X196" s="228">
        <f t="shared" si="122"/>
        <v>36000</v>
      </c>
      <c r="Y196" s="228">
        <f t="shared" si="122"/>
        <v>2340</v>
      </c>
      <c r="Z196" s="226">
        <f t="shared" si="122"/>
        <v>571740</v>
      </c>
      <c r="AA196" s="229"/>
      <c r="AB196" s="228">
        <f t="shared" ref="AB196:AG196" si="123">SUM(AB143:AB154)</f>
        <v>2966</v>
      </c>
      <c r="AC196" s="228">
        <f t="shared" si="123"/>
        <v>84</v>
      </c>
      <c r="AD196" s="230">
        <f t="shared" si="123"/>
        <v>18</v>
      </c>
      <c r="AE196" s="226">
        <f t="shared" si="123"/>
        <v>551</v>
      </c>
      <c r="AF196" s="228">
        <f t="shared" si="123"/>
        <v>19346</v>
      </c>
      <c r="AG196" s="228">
        <f t="shared" si="123"/>
        <v>551</v>
      </c>
      <c r="AH196" s="211"/>
      <c r="AI196" s="228">
        <f>SUM(AI143:AI154)</f>
        <v>2015.516127385149</v>
      </c>
      <c r="AJ196" s="228">
        <f>SUM(AJ143:AJ154)</f>
        <v>14390</v>
      </c>
      <c r="AK196" s="228">
        <f>SUM(AK143:AK154)</f>
        <v>1560</v>
      </c>
      <c r="AL196" s="228">
        <f>SUM(AL143:AL154)</f>
        <v>12470</v>
      </c>
      <c r="AM196" s="211"/>
      <c r="AN196" s="229">
        <f>SUM(AN143:AN154)</f>
        <v>1864324.140824219</v>
      </c>
      <c r="AO196" s="229">
        <f>SUM(AO143:AO154)</f>
        <v>1170139.1778704145</v>
      </c>
      <c r="AP196" s="216">
        <f t="shared" si="98"/>
        <v>4.6099376355281052E-2</v>
      </c>
      <c r="AR196" s="216">
        <f>(C196/$C$186)^(1/COUNTA($B$187:B196))-1</f>
        <v>4.3571110450943973E-2</v>
      </c>
      <c r="AX196" s="3" t="s">
        <v>98</v>
      </c>
      <c r="BG196" s="91"/>
      <c r="BQ196" s="172"/>
    </row>
    <row r="197" spans="1:69" ht="12" customHeight="1">
      <c r="A197" s="49"/>
      <c r="B197" s="225">
        <f t="shared" si="102"/>
        <v>47848</v>
      </c>
      <c r="C197" s="226">
        <f t="shared" ref="C197:R197" si="124">SUM(C155:C166)</f>
        <v>3063450</v>
      </c>
      <c r="D197" s="227">
        <f t="shared" si="124"/>
        <v>2486200</v>
      </c>
      <c r="E197" s="228">
        <f t="shared" si="124"/>
        <v>448123.99988452136</v>
      </c>
      <c r="F197" s="228">
        <f t="shared" si="124"/>
        <v>322110</v>
      </c>
      <c r="G197" s="228">
        <f t="shared" si="124"/>
        <v>168910</v>
      </c>
      <c r="H197" s="228">
        <f t="shared" si="124"/>
        <v>6600</v>
      </c>
      <c r="I197" s="228">
        <f t="shared" si="124"/>
        <v>8750</v>
      </c>
      <c r="J197" s="228">
        <f t="shared" si="124"/>
        <v>97296.412079999995</v>
      </c>
      <c r="K197" s="228">
        <f t="shared" si="124"/>
        <v>5630</v>
      </c>
      <c r="L197" s="228">
        <f t="shared" si="124"/>
        <v>31200</v>
      </c>
      <c r="M197" s="228">
        <f t="shared" si="124"/>
        <v>4680</v>
      </c>
      <c r="N197" s="228">
        <f t="shared" si="124"/>
        <v>3480</v>
      </c>
      <c r="O197" s="228">
        <f t="shared" si="124"/>
        <v>16800</v>
      </c>
      <c r="P197" s="226">
        <f t="shared" si="124"/>
        <v>500282.46964911843</v>
      </c>
      <c r="Q197" s="228">
        <f t="shared" si="124"/>
        <v>208700</v>
      </c>
      <c r="R197" s="228">
        <f t="shared" si="124"/>
        <v>77040</v>
      </c>
      <c r="S197" s="228"/>
      <c r="T197" s="228">
        <f t="shared" ref="T197:Z197" si="125">SUM(T155:T166)</f>
        <v>0</v>
      </c>
      <c r="U197" s="226">
        <f t="shared" si="125"/>
        <v>101570</v>
      </c>
      <c r="V197" s="228">
        <f t="shared" si="125"/>
        <v>18000</v>
      </c>
      <c r="W197" s="228">
        <f t="shared" si="125"/>
        <v>428760</v>
      </c>
      <c r="X197" s="228">
        <f t="shared" si="125"/>
        <v>36000</v>
      </c>
      <c r="Y197" s="228">
        <f t="shared" si="125"/>
        <v>2340</v>
      </c>
      <c r="Z197" s="226">
        <f t="shared" si="125"/>
        <v>577250</v>
      </c>
      <c r="AA197" s="229"/>
      <c r="AB197" s="228">
        <f t="shared" ref="AB197:AG197" si="126">SUM(AB155:AB166)</f>
        <v>2966</v>
      </c>
      <c r="AC197" s="228">
        <f t="shared" si="126"/>
        <v>84</v>
      </c>
      <c r="AD197" s="230">
        <f t="shared" si="126"/>
        <v>18</v>
      </c>
      <c r="AE197" s="226">
        <f t="shared" si="126"/>
        <v>551</v>
      </c>
      <c r="AF197" s="228">
        <f t="shared" si="126"/>
        <v>25958</v>
      </c>
      <c r="AG197" s="228">
        <f t="shared" si="126"/>
        <v>551</v>
      </c>
      <c r="AH197" s="211"/>
      <c r="AI197" s="228">
        <f>SUM(AI155:AI166)</f>
        <v>2035.6712886590005</v>
      </c>
      <c r="AJ197" s="228">
        <f>SUM(AJ155:AJ166)</f>
        <v>14510</v>
      </c>
      <c r="AK197" s="228">
        <f>SUM(AK155:AK166)</f>
        <v>1560</v>
      </c>
      <c r="AL197" s="228">
        <f>SUM(AL155:AL166)</f>
        <v>12590</v>
      </c>
      <c r="AM197" s="211"/>
      <c r="AN197" s="229">
        <f>SUM(AN155:AN166)</f>
        <v>1882080.4119645217</v>
      </c>
      <c r="AO197" s="229">
        <f>SUM(AO155:AO166)</f>
        <v>1181442.4696491186</v>
      </c>
      <c r="AP197" s="216">
        <f t="shared" si="98"/>
        <v>9.5702294680020117E-3</v>
      </c>
      <c r="AR197" s="216">
        <f>(C197/$C$186)^(1/COUNTA($B$187:B197))-1</f>
        <v>4.0433372546763602E-2</v>
      </c>
      <c r="AX197" s="241" t="s">
        <v>99</v>
      </c>
      <c r="BG197" s="91"/>
      <c r="BQ197" s="172"/>
    </row>
    <row r="198" spans="1:69" ht="12" customHeight="1">
      <c r="D198" s="31"/>
      <c r="J198" s="242"/>
      <c r="W198" s="65"/>
      <c r="Y198" s="199"/>
      <c r="Z198" s="243"/>
      <c r="AT198" s="244" t="s">
        <v>100</v>
      </c>
      <c r="AV198"/>
    </row>
    <row r="199" spans="1:69" ht="12" customHeight="1">
      <c r="D199" s="31"/>
      <c r="AU199" s="245">
        <v>79.39</v>
      </c>
      <c r="AV199"/>
      <c r="AW199" s="246">
        <v>0.11899999999999999</v>
      </c>
    </row>
    <row r="200" spans="1:69" ht="12" customHeight="1">
      <c r="AV200"/>
      <c r="AW200" s="9" t="s">
        <v>101</v>
      </c>
      <c r="AX200" s="9" t="s">
        <v>102</v>
      </c>
      <c r="AY200" s="9" t="s">
        <v>103</v>
      </c>
      <c r="AZ200" s="9" t="s">
        <v>104</v>
      </c>
      <c r="BA200" s="9" t="s">
        <v>105</v>
      </c>
    </row>
    <row r="201" spans="1:69" ht="12" customHeight="1">
      <c r="D201" s="91"/>
      <c r="AU201" s="171">
        <v>2020</v>
      </c>
      <c r="AV201" s="171">
        <v>155</v>
      </c>
      <c r="AW201" s="91">
        <v>12310</v>
      </c>
      <c r="AY201" s="91"/>
      <c r="AZ201" s="91"/>
    </row>
    <row r="202" spans="1:69" ht="12" customHeight="1">
      <c r="AU202" s="171">
        <v>2021</v>
      </c>
      <c r="AV202" s="171">
        <v>155</v>
      </c>
      <c r="AW202" s="91">
        <v>12310</v>
      </c>
      <c r="AY202" s="91"/>
      <c r="AZ202" s="91"/>
    </row>
    <row r="203" spans="1:69" ht="12" customHeight="1">
      <c r="AT203" s="170"/>
      <c r="AU203" s="171">
        <v>2022</v>
      </c>
      <c r="AV203" s="171">
        <v>155</v>
      </c>
      <c r="AW203" s="91">
        <v>12310</v>
      </c>
      <c r="AY203" s="91"/>
      <c r="AZ203" s="91"/>
    </row>
    <row r="204" spans="1:69" ht="12" customHeight="1">
      <c r="AT204" s="245">
        <v>0</v>
      </c>
      <c r="AU204" s="171">
        <v>2023</v>
      </c>
      <c r="AV204" s="171">
        <v>155</v>
      </c>
      <c r="AW204" s="91">
        <v>12310</v>
      </c>
      <c r="AY204" s="91">
        <f>AW204*12</f>
        <v>147720</v>
      </c>
      <c r="AZ204" s="91"/>
    </row>
    <row r="205" spans="1:69" ht="12" customHeight="1">
      <c r="AT205" s="247">
        <v>1</v>
      </c>
      <c r="AU205" s="248">
        <v>2024</v>
      </c>
      <c r="AV205" s="248">
        <v>240</v>
      </c>
      <c r="AW205" s="249">
        <v>19060</v>
      </c>
      <c r="AX205" s="250">
        <f>AW205/AW204-1</f>
        <v>0.54833468724614143</v>
      </c>
      <c r="AY205" s="249">
        <f>AW205*12</f>
        <v>228720</v>
      </c>
      <c r="AZ205" s="249">
        <f>AY205-AY204</f>
        <v>81000</v>
      </c>
      <c r="BA205" s="250">
        <f>(AW205/$AW$204)^(1/COUNTA($AU$205:AU205))-1</f>
        <v>0.54833468724614143</v>
      </c>
    </row>
    <row r="206" spans="1:69" ht="12" customHeight="1">
      <c r="AT206" s="245">
        <v>2</v>
      </c>
      <c r="AU206" s="171">
        <v>2025</v>
      </c>
      <c r="AV206" s="171">
        <v>240</v>
      </c>
      <c r="AW206" s="91">
        <v>19060</v>
      </c>
      <c r="AX206" s="203">
        <f>AW206/AW205-1</f>
        <v>0</v>
      </c>
      <c r="AY206" s="91">
        <f>AW206*12</f>
        <v>228720</v>
      </c>
      <c r="AZ206" s="91">
        <f>AY206-AY205</f>
        <v>0</v>
      </c>
      <c r="BA206" s="172">
        <f>(AW206/$AW$204)^(1/COUNTA($AU$205:AU206))-1</f>
        <v>0.24432097436559408</v>
      </c>
    </row>
    <row r="207" spans="1:69" ht="12" customHeight="1">
      <c r="AT207" s="251">
        <v>3</v>
      </c>
      <c r="AU207" s="252">
        <v>2026</v>
      </c>
      <c r="AV207" s="252">
        <v>340</v>
      </c>
      <c r="AW207" s="253">
        <v>27000</v>
      </c>
      <c r="AX207" s="254">
        <f>AW207/AW206-1</f>
        <v>0.41657922350472187</v>
      </c>
      <c r="AY207" s="253">
        <f>AW207*12</f>
        <v>324000</v>
      </c>
      <c r="AZ207" s="253">
        <f>AY207-AY206</f>
        <v>95280</v>
      </c>
      <c r="BA207" s="254">
        <f>(AW207/$AW$204)^(1/COUNTA($AU$205:AU207))-1</f>
        <v>0.29927745824498775</v>
      </c>
    </row>
    <row r="208" spans="1:69" ht="12" customHeight="1">
      <c r="AT208" s="245">
        <v>4</v>
      </c>
      <c r="AU208" s="171">
        <v>2027</v>
      </c>
      <c r="AV208" s="171">
        <v>340</v>
      </c>
      <c r="AW208" s="91">
        <v>27000</v>
      </c>
      <c r="AX208" s="203">
        <f>AW208/AW207-1</f>
        <v>0</v>
      </c>
      <c r="AY208" s="91">
        <f>AW208*12</f>
        <v>324000</v>
      </c>
      <c r="AZ208" s="91">
        <f>AY208-AY207</f>
        <v>0</v>
      </c>
      <c r="BA208" s="172">
        <f>(AW208/$AW$204)^(1/COUNTA($AU$205:AU208))-1</f>
        <v>0.21696034767850469</v>
      </c>
    </row>
    <row r="209" spans="44:60" ht="12" customHeight="1">
      <c r="AT209" s="245">
        <v>5</v>
      </c>
      <c r="AU209" s="171">
        <v>2028</v>
      </c>
      <c r="AV209" s="171">
        <v>340</v>
      </c>
      <c r="AW209" s="91">
        <v>27000</v>
      </c>
      <c r="AX209" s="203">
        <f t="shared" ref="AX209:AX219" si="127">AW209/AW208-1</f>
        <v>0</v>
      </c>
      <c r="AY209" s="91">
        <f t="shared" ref="AY209:AY219" si="128">AW209*12</f>
        <v>324000</v>
      </c>
      <c r="AZ209" s="91">
        <f t="shared" ref="AZ209:AZ219" si="129">AY209-AY208</f>
        <v>0</v>
      </c>
      <c r="BA209" s="172">
        <f>(AW209/$AW$204)^(1/COUNTA($AU$205:AU209))-1</f>
        <v>0.17009505039247785</v>
      </c>
    </row>
    <row r="210" spans="44:60" ht="12" customHeight="1">
      <c r="AT210" s="245">
        <v>6</v>
      </c>
      <c r="AU210" s="171">
        <v>2029</v>
      </c>
      <c r="AV210" s="171">
        <v>450</v>
      </c>
      <c r="AW210" s="91">
        <v>35730</v>
      </c>
      <c r="AX210" s="203">
        <f t="shared" si="127"/>
        <v>0.32333333333333325</v>
      </c>
      <c r="AY210" s="91">
        <f t="shared" si="128"/>
        <v>428760</v>
      </c>
      <c r="AZ210" s="91">
        <f t="shared" si="129"/>
        <v>104760</v>
      </c>
      <c r="BA210" s="172">
        <f>(AW210/$AW$204)^(1/COUNTA($AU$205:AU210))-1</f>
        <v>0.19434325309131095</v>
      </c>
    </row>
    <row r="211" spans="44:60" ht="12" customHeight="1">
      <c r="AT211" s="245">
        <v>7</v>
      </c>
      <c r="AU211" s="171">
        <v>2030</v>
      </c>
      <c r="AV211" s="171">
        <v>450</v>
      </c>
      <c r="AW211" s="91">
        <v>35730</v>
      </c>
      <c r="AX211" s="203">
        <f t="shared" si="127"/>
        <v>0</v>
      </c>
      <c r="AY211" s="91">
        <f t="shared" si="128"/>
        <v>428760</v>
      </c>
      <c r="AZ211" s="91">
        <f t="shared" si="129"/>
        <v>0</v>
      </c>
      <c r="BA211" s="172">
        <f>(AW211/$AW$204)^(1/COUNTA($AU$205:AU211))-1</f>
        <v>0.16442282273208186</v>
      </c>
    </row>
    <row r="212" spans="44:60" ht="12" customHeight="1">
      <c r="AT212" s="245">
        <v>8</v>
      </c>
      <c r="AU212" s="171">
        <v>2031</v>
      </c>
      <c r="AV212" s="171">
        <v>450</v>
      </c>
      <c r="AW212" s="91">
        <v>35730</v>
      </c>
      <c r="AX212" s="203">
        <f t="shared" si="127"/>
        <v>0</v>
      </c>
      <c r="AY212" s="91">
        <f t="shared" si="128"/>
        <v>428760</v>
      </c>
      <c r="AZ212" s="91">
        <f t="shared" si="129"/>
        <v>0</v>
      </c>
      <c r="BA212" s="172">
        <f>(AW212/$AW$204)^(1/COUNTA($AU$205:AU212))-1</f>
        <v>0.14247543387910655</v>
      </c>
    </row>
    <row r="213" spans="44:60" ht="12" customHeight="1">
      <c r="AT213" s="245">
        <v>9</v>
      </c>
      <c r="AU213" s="171">
        <v>2032</v>
      </c>
      <c r="AV213" s="171">
        <v>570</v>
      </c>
      <c r="AW213" s="91">
        <v>45260</v>
      </c>
      <c r="AX213" s="203">
        <f t="shared" si="127"/>
        <v>0.26672264203750351</v>
      </c>
      <c r="AY213" s="91">
        <f t="shared" si="128"/>
        <v>543120</v>
      </c>
      <c r="AZ213" s="91">
        <f t="shared" si="129"/>
        <v>114360</v>
      </c>
      <c r="BA213" s="172">
        <f>(AW213/$AW$204)^(1/COUNTA($AU$205:AU213))-1</f>
        <v>0.15565579031459431</v>
      </c>
    </row>
    <row r="214" spans="44:60" ht="12" customHeight="1">
      <c r="AT214" s="245">
        <v>10</v>
      </c>
      <c r="AU214" s="171">
        <v>2033</v>
      </c>
      <c r="AV214" s="171">
        <v>570</v>
      </c>
      <c r="AW214" s="91">
        <v>45260</v>
      </c>
      <c r="AX214" s="203">
        <f t="shared" si="127"/>
        <v>0</v>
      </c>
      <c r="AY214" s="91">
        <f t="shared" si="128"/>
        <v>543120</v>
      </c>
      <c r="AZ214" s="91">
        <f t="shared" si="129"/>
        <v>0</v>
      </c>
      <c r="BA214" s="172">
        <f>(AW214/$AW$204)^(1/COUNTA($AU$205:AU214))-1</f>
        <v>0.13905750447690202</v>
      </c>
    </row>
    <row r="215" spans="44:60" ht="12" customHeight="1">
      <c r="AT215" s="245">
        <v>11</v>
      </c>
      <c r="AU215" s="171">
        <v>2034</v>
      </c>
      <c r="AV215" s="171">
        <v>570</v>
      </c>
      <c r="AW215" s="91">
        <v>45260</v>
      </c>
      <c r="AX215" s="203">
        <f t="shared" si="127"/>
        <v>0</v>
      </c>
      <c r="AY215" s="91">
        <f t="shared" si="128"/>
        <v>543120</v>
      </c>
      <c r="AZ215" s="91">
        <f t="shared" si="129"/>
        <v>0</v>
      </c>
      <c r="BA215" s="172">
        <f>(AW215/$AW$204)^(1/COUNTA($AU$205:AU215))-1</f>
        <v>0.12565456273693965</v>
      </c>
      <c r="BC215" s="255"/>
    </row>
    <row r="216" spans="44:60" ht="12" customHeight="1">
      <c r="AT216" s="245">
        <v>12</v>
      </c>
      <c r="AU216" s="171">
        <v>2035</v>
      </c>
      <c r="AV216" s="171">
        <v>700</v>
      </c>
      <c r="AW216" s="91">
        <v>55580</v>
      </c>
      <c r="AX216" s="203">
        <f t="shared" si="127"/>
        <v>0.22801590808661065</v>
      </c>
      <c r="AY216" s="91">
        <f t="shared" si="128"/>
        <v>666960</v>
      </c>
      <c r="AZ216" s="91">
        <f t="shared" si="129"/>
        <v>123840</v>
      </c>
      <c r="BA216" s="172">
        <f>(AW216/$AW$204)^(1/COUNTA($AU$205:AU216))-1</f>
        <v>0.13384852854977192</v>
      </c>
    </row>
    <row r="217" spans="44:60" ht="12" customHeight="1">
      <c r="AT217" s="245">
        <v>13</v>
      </c>
      <c r="AU217" s="171">
        <v>2036</v>
      </c>
      <c r="AV217" s="171">
        <v>700</v>
      </c>
      <c r="AW217" s="91">
        <v>55580</v>
      </c>
      <c r="AX217" s="203">
        <f t="shared" si="127"/>
        <v>0</v>
      </c>
      <c r="AY217" s="91">
        <f t="shared" si="128"/>
        <v>666960</v>
      </c>
      <c r="AZ217" s="91">
        <f t="shared" si="129"/>
        <v>0</v>
      </c>
      <c r="BA217" s="172">
        <f>(AW217/$AW$204)^(1/COUNTA($AU$205:AU217))-1</f>
        <v>0.12294503475273477</v>
      </c>
    </row>
    <row r="218" spans="44:60" ht="12" customHeight="1">
      <c r="AT218" s="245">
        <v>14</v>
      </c>
      <c r="AU218" s="171">
        <v>2037</v>
      </c>
      <c r="AV218" s="171">
        <v>700</v>
      </c>
      <c r="AW218" s="91">
        <v>55580</v>
      </c>
      <c r="AX218" s="203">
        <f t="shared" si="127"/>
        <v>0</v>
      </c>
      <c r="AY218" s="91">
        <f t="shared" si="128"/>
        <v>666960</v>
      </c>
      <c r="AZ218" s="91">
        <f t="shared" si="129"/>
        <v>0</v>
      </c>
      <c r="BA218" s="172">
        <f>(AW218/$AW$204)^(1/COUNTA($AU$205:AU218))-1</f>
        <v>0.11368267480352601</v>
      </c>
    </row>
    <row r="219" spans="44:60" ht="12" customHeight="1">
      <c r="AT219" s="245">
        <v>15</v>
      </c>
      <c r="AU219" s="171">
        <v>2038</v>
      </c>
      <c r="AV219" s="171">
        <v>840</v>
      </c>
      <c r="AW219" s="91">
        <v>66690</v>
      </c>
      <c r="AX219" s="203">
        <f t="shared" si="127"/>
        <v>0.19989204749910039</v>
      </c>
      <c r="AY219" s="91">
        <f t="shared" si="128"/>
        <v>800280</v>
      </c>
      <c r="AZ219" s="91">
        <f t="shared" si="129"/>
        <v>133320</v>
      </c>
      <c r="BA219" s="172">
        <f>(AW219/$AW$204)^(1/COUNTA($AU$205:AU219))-1</f>
        <v>0.11923215216124894</v>
      </c>
    </row>
    <row r="223" spans="44:60" ht="12" customHeight="1">
      <c r="AR223" s="256" t="s">
        <v>106</v>
      </c>
    </row>
    <row r="224" spans="44:60" ht="12" customHeight="1">
      <c r="AR224" s="256" t="s">
        <v>107</v>
      </c>
      <c r="AT224" s="256"/>
      <c r="AU224" s="3"/>
      <c r="AX224" s="256" t="s">
        <v>108</v>
      </c>
      <c r="AY224" s="256"/>
      <c r="BC224" s="257" t="s">
        <v>109</v>
      </c>
      <c r="BD224" s="258">
        <f>AB118</f>
        <v>215</v>
      </c>
      <c r="BE224" s="259" t="s">
        <v>75</v>
      </c>
      <c r="BF224" s="257" t="s">
        <v>110</v>
      </c>
      <c r="BG224" s="258">
        <f>AB116</f>
        <v>325</v>
      </c>
      <c r="BH224" s="259" t="s">
        <v>75</v>
      </c>
    </row>
    <row r="225" spans="10:69" ht="12" customHeight="1">
      <c r="AR225" s="260" t="s">
        <v>111</v>
      </c>
      <c r="AS225" s="261"/>
      <c r="AT225" s="262"/>
      <c r="AU225" s="263" t="s">
        <v>112</v>
      </c>
      <c r="AV225" s="264"/>
      <c r="AX225" s="260" t="s">
        <v>111</v>
      </c>
      <c r="AY225" s="262"/>
      <c r="AZ225" s="263" t="s">
        <v>112</v>
      </c>
      <c r="BA225" s="264"/>
      <c r="BC225" s="265" t="s">
        <v>111</v>
      </c>
      <c r="BD225" s="237">
        <f>AX227</f>
        <v>1260</v>
      </c>
      <c r="BE225" s="245"/>
      <c r="BF225" s="265" t="s">
        <v>111</v>
      </c>
      <c r="BG225" s="237">
        <f>AR227</f>
        <v>1260</v>
      </c>
      <c r="BH225" s="245"/>
    </row>
    <row r="226" spans="10:69" ht="12" customHeight="1">
      <c r="AR226" s="266">
        <v>730</v>
      </c>
      <c r="AS226" s="267"/>
      <c r="AT226" s="171">
        <v>0</v>
      </c>
      <c r="AU226" s="3">
        <v>300</v>
      </c>
      <c r="AV226" s="268">
        <v>105</v>
      </c>
      <c r="AW226" s="259" t="s">
        <v>113</v>
      </c>
      <c r="AX226" s="266">
        <v>730</v>
      </c>
      <c r="AY226" s="171">
        <v>0</v>
      </c>
      <c r="AZ226" s="3">
        <v>200</v>
      </c>
      <c r="BA226" s="268">
        <v>105</v>
      </c>
      <c r="BB226" s="259" t="s">
        <v>113</v>
      </c>
      <c r="BC226" s="265" t="s">
        <v>114</v>
      </c>
      <c r="BD226" s="237">
        <f>(200*105)+((BD224-AZ226)*VLOOKUP(BD224,AY226:BA228,3))</f>
        <v>23610</v>
      </c>
      <c r="BE226" s="3"/>
      <c r="BF226" s="265" t="s">
        <v>114</v>
      </c>
      <c r="BG226" s="237">
        <f>(300*105)+((BG224-AU226)*VLOOKUP(BG224,AT226:AV228,3))</f>
        <v>35850</v>
      </c>
    </row>
    <row r="227" spans="10:69" ht="12" customHeight="1">
      <c r="AR227" s="266">
        <v>1260</v>
      </c>
      <c r="AS227" s="269"/>
      <c r="AT227" s="171">
        <v>301</v>
      </c>
      <c r="AU227" s="3">
        <v>450</v>
      </c>
      <c r="AV227" s="268">
        <v>174</v>
      </c>
      <c r="AW227" s="259" t="str">
        <f>AW226</f>
        <v>원/kWh</v>
      </c>
      <c r="AX227" s="266">
        <v>1260</v>
      </c>
      <c r="AY227" s="171">
        <v>201</v>
      </c>
      <c r="AZ227" s="3">
        <v>400</v>
      </c>
      <c r="BA227" s="268">
        <v>174</v>
      </c>
      <c r="BB227" s="259" t="str">
        <f>BB226</f>
        <v>원/kWh</v>
      </c>
      <c r="BC227" s="265" t="s">
        <v>115</v>
      </c>
      <c r="BD227" s="237">
        <f>9*BD224</f>
        <v>1935</v>
      </c>
      <c r="BE227" s="270"/>
      <c r="BF227" s="265" t="s">
        <v>115</v>
      </c>
      <c r="BG227" s="237">
        <f>9*BG224</f>
        <v>2925</v>
      </c>
      <c r="BH227" s="270"/>
    </row>
    <row r="228" spans="10:69" ht="12" customHeight="1">
      <c r="AR228" s="271">
        <v>6060</v>
      </c>
      <c r="AS228" s="272"/>
      <c r="AT228" s="273">
        <v>451</v>
      </c>
      <c r="AU228" s="45">
        <v>10000</v>
      </c>
      <c r="AV228" s="274">
        <v>242.3</v>
      </c>
      <c r="AW228" s="259" t="str">
        <f>AW227</f>
        <v>원/kWh</v>
      </c>
      <c r="AX228" s="271">
        <v>6060</v>
      </c>
      <c r="AY228" s="273">
        <v>401</v>
      </c>
      <c r="AZ228" s="45">
        <v>10000</v>
      </c>
      <c r="BA228" s="274">
        <v>242.3</v>
      </c>
      <c r="BB228" s="259" t="str">
        <f>BB227</f>
        <v>원/kWh</v>
      </c>
      <c r="BC228" s="265" t="s">
        <v>116</v>
      </c>
      <c r="BD228" s="237">
        <f>5*BD224</f>
        <v>1075</v>
      </c>
      <c r="BE228" s="275"/>
      <c r="BF228" s="265" t="s">
        <v>116</v>
      </c>
      <c r="BG228" s="237">
        <f>5*BG224</f>
        <v>1625</v>
      </c>
      <c r="BH228" s="275"/>
    </row>
    <row r="229" spans="10:69" ht="12" customHeight="1">
      <c r="AT229" s="171"/>
      <c r="AU229" s="171"/>
      <c r="BC229" s="276" t="s">
        <v>117</v>
      </c>
      <c r="BD229" s="277">
        <f>SUM(BD225:BD228)</f>
        <v>27880</v>
      </c>
      <c r="BE229" s="245"/>
      <c r="BF229" s="276" t="s">
        <v>117</v>
      </c>
      <c r="BG229" s="277">
        <f>SUM(BG225:BG228)</f>
        <v>41660</v>
      </c>
      <c r="BH229" s="245"/>
    </row>
    <row r="230" spans="10:69" ht="12" customHeight="1">
      <c r="AT230" s="171"/>
      <c r="AU230" s="171"/>
      <c r="BC230" s="265" t="s">
        <v>118</v>
      </c>
      <c r="BD230" s="237">
        <f>BD229*10%</f>
        <v>2788</v>
      </c>
      <c r="BE230" s="245"/>
      <c r="BF230" s="265" t="s">
        <v>118</v>
      </c>
      <c r="BG230" s="237">
        <f>BG229*10%</f>
        <v>4166</v>
      </c>
      <c r="BH230" s="245"/>
    </row>
    <row r="231" spans="10:69" ht="12" customHeight="1">
      <c r="J231" s="199"/>
      <c r="AT231" s="171"/>
      <c r="AU231" s="171"/>
      <c r="BC231" s="265" t="s">
        <v>119</v>
      </c>
      <c r="BD231" s="237">
        <f>ROUNDDOWN(BD229*2.7%,-1)</f>
        <v>750</v>
      </c>
      <c r="BE231" s="245"/>
      <c r="BF231" s="265" t="s">
        <v>119</v>
      </c>
      <c r="BG231" s="237">
        <f>ROUNDDOWN(BG229*2.7%,-1)</f>
        <v>1120</v>
      </c>
      <c r="BH231" s="245"/>
    </row>
    <row r="232" spans="10:69" ht="12" customHeight="1">
      <c r="W232" s="31"/>
      <c r="AT232" s="171"/>
      <c r="AU232" s="171"/>
      <c r="AW232" s="278"/>
      <c r="BC232" s="279" t="s">
        <v>120</v>
      </c>
      <c r="BD232" s="280">
        <f>ROUNDDOWN(SUM(BD229:BD231),-1)</f>
        <v>31410</v>
      </c>
      <c r="BE232" s="245"/>
      <c r="BF232" s="279" t="s">
        <v>120</v>
      </c>
      <c r="BG232" s="280">
        <f>ROUNDDOWN(SUM(BG229:BG231),-1)</f>
        <v>46940</v>
      </c>
      <c r="BH232" s="245"/>
      <c r="BQ232" s="64"/>
    </row>
    <row r="233" spans="10:69" ht="12" customHeight="1">
      <c r="AT233" s="171"/>
      <c r="AU233" s="171"/>
    </row>
    <row r="234" spans="10:69" ht="12" customHeight="1">
      <c r="AT234" s="171"/>
      <c r="AU234" s="171"/>
      <c r="BD234">
        <v>26940</v>
      </c>
    </row>
    <row r="235" spans="10:69" ht="12" customHeight="1">
      <c r="AT235" s="171"/>
      <c r="AU235" s="171"/>
      <c r="BD235" s="281"/>
    </row>
    <row r="236" spans="10:69" ht="12" customHeight="1">
      <c r="AT236" s="171"/>
      <c r="AU236" s="171"/>
    </row>
    <row r="237" spans="10:69" ht="12" customHeight="1">
      <c r="AT237" s="171"/>
      <c r="AU237" s="171"/>
    </row>
    <row r="238" spans="10:69" ht="12" customHeight="1">
      <c r="AT238" s="171"/>
      <c r="AU238" s="171"/>
    </row>
    <row r="239" spans="10:69" ht="12" customHeight="1">
      <c r="AT239" s="171"/>
      <c r="AU239" s="171"/>
    </row>
    <row r="240" spans="10:69" ht="12" customHeight="1">
      <c r="AT240" s="171"/>
      <c r="AU240" s="171"/>
    </row>
    <row r="241" spans="46:47" ht="12" customHeight="1">
      <c r="AT241" s="171"/>
      <c r="AU241" s="171"/>
    </row>
    <row r="242" spans="46:47" ht="12" customHeight="1">
      <c r="AT242" s="171"/>
      <c r="AU242" s="171"/>
    </row>
    <row r="243" spans="46:47" ht="12" customHeight="1">
      <c r="AT243" s="171"/>
      <c r="AU243" s="171"/>
    </row>
    <row r="244" spans="46:47" ht="12" customHeight="1">
      <c r="AT244" s="171"/>
      <c r="AU244" s="171"/>
    </row>
    <row r="245" spans="46:47" ht="12" customHeight="1">
      <c r="AT245" s="171"/>
      <c r="AU245" s="171"/>
    </row>
    <row r="246" spans="46:47" ht="12" customHeight="1">
      <c r="AT246" s="171"/>
      <c r="AU246" s="171"/>
    </row>
    <row r="247" spans="46:47" ht="12" customHeight="1">
      <c r="AT247" s="171"/>
      <c r="AU247" s="171"/>
    </row>
    <row r="248" spans="46:47" ht="12" customHeight="1">
      <c r="AT248" s="171"/>
      <c r="AU248" s="171"/>
    </row>
    <row r="249" spans="46:47" ht="12" customHeight="1">
      <c r="AT249" s="171"/>
      <c r="AU249" s="171"/>
    </row>
    <row r="250" spans="46:47" ht="12" customHeight="1">
      <c r="AT250" s="171"/>
      <c r="AU250" s="171"/>
    </row>
    <row r="251" spans="46:47" ht="12" customHeight="1">
      <c r="AT251" s="171"/>
      <c r="AU251" s="171"/>
    </row>
    <row r="252" spans="46:47" ht="12" customHeight="1">
      <c r="AT252" s="171"/>
      <c r="AU252" s="171"/>
    </row>
    <row r="253" spans="46:47" ht="12" customHeight="1">
      <c r="AT253" s="171"/>
      <c r="AU253" s="171"/>
    </row>
    <row r="254" spans="46:47" ht="12" customHeight="1">
      <c r="AT254" s="171"/>
      <c r="AU254" s="171"/>
    </row>
    <row r="255" spans="46:47" ht="12" customHeight="1">
      <c r="AT255" s="171"/>
      <c r="AU255" s="171"/>
    </row>
    <row r="256" spans="46:47" ht="12" customHeight="1">
      <c r="AT256" s="171"/>
      <c r="AU256" s="171"/>
    </row>
    <row r="257" spans="46:47" ht="12" customHeight="1">
      <c r="AT257" s="171"/>
      <c r="AU257" s="171"/>
    </row>
    <row r="258" spans="46:47" ht="12" customHeight="1">
      <c r="AT258" s="171"/>
      <c r="AU258" s="171"/>
    </row>
  </sheetData>
  <mergeCells count="2">
    <mergeCell ref="AF2:AG2"/>
    <mergeCell ref="AF54:AG54"/>
  </mergeCells>
  <phoneticPr fontId="4" type="noConversion"/>
  <conditionalFormatting sqref="AX205:BA219">
    <cfRule type="cellIs" dxfId="0" priority="1" stopIfTrue="1" operator="equal">
      <formula>0</formula>
    </cfRule>
  </conditionalFormatting>
  <pageMargins left="0.25" right="0.25" top="0.75" bottom="0.75" header="0.3" footer="0.3"/>
  <pageSetup paperSize="9" scale="61" orientation="landscape" verticalDpi="1200" r:id="rId1"/>
  <drawing r:id="rId2"/>
  <legacy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lineWeight="1.5" displayEmptyCellsAs="gap" high="1" low="1" xr2:uid="{03D41762-5576-4252-93B0-349C81C331C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F0"/>
          <x14:sparklines>
            <x14:sparkline>
              <xm:f>관리비_Kenneth!E6:E51</xm:f>
              <xm:sqref>E53</xm:sqref>
            </x14:sparkline>
            <x14:sparkline>
              <xm:f>관리비_Kenneth!G6:G51</xm:f>
              <xm:sqref>G53</xm:sqref>
            </x14:sparkline>
          </x14:sparklines>
        </x14:sparklineGroup>
        <x14:sparklineGroup manualMax="0" manualMin="0" lineWeight="1.5" displayEmptyCellsAs="gap" high="1" low="1" xr2:uid="{7B65A06A-375A-414D-9434-39961E37F5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F0"/>
          <x14:sparklines>
            <x14:sparkline>
              <xm:f>관리비_Kenneth!W6:W51</xm:f>
              <xm:sqref>W53</xm:sqref>
            </x14:sparkline>
          </x14:sparklines>
        </x14:sparklineGroup>
        <x14:sparklineGroup manualMax="0" manualMin="0" lineWeight="1.5" displayEmptyCellsAs="gap" high="1" low="1" xr2:uid="{84DB6BD5-1F89-4982-8BE6-838C5069CE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F0"/>
          <x14:sparklines>
            <x14:sparkline>
              <xm:f>관리비_Kenneth!L6:L51</xm:f>
              <xm:sqref>L53</xm:sqref>
            </x14:sparkline>
          </x14:sparklines>
        </x14:sparklineGroup>
        <x14:sparklineGroup manualMax="0" manualMin="0" lineWeight="1.5" displayEmptyCellsAs="gap" high="1" low="1" xr2:uid="{E955A1AA-15FE-4E91-865A-283672EEAB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F0"/>
          <x14:sparklines>
            <x14:sparkline>
              <xm:f>관리비_Kenneth!F6:F51</xm:f>
              <xm:sqref>F53</xm:sqref>
            </x14:sparkline>
          </x14:sparklines>
        </x14:sparklineGroup>
        <x14:sparklineGroup manualMax="0" manualMin="0" lineWeight="1.5" displayEmptyCellsAs="gap" high="1" low="1" xr2:uid="{BF3FFE4C-4D34-4FFE-92DC-7DD2B3F32A6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F0"/>
          <x14:sparklines>
            <x14:sparkline>
              <xm:f>관리비_Kenneth!AI6:AI51</xm:f>
              <xm:sqref>AI53</xm:sqref>
            </x14:sparkline>
            <x14:sparkline>
              <xm:f>관리비_Kenneth!AJ6:AJ51</xm:f>
              <xm:sqref>AJ53</xm:sqref>
            </x14:sparkline>
            <x14:sparkline>
              <xm:f>관리비_Kenneth!AK6:AK51</xm:f>
              <xm:sqref>AK53</xm:sqref>
            </x14:sparkline>
            <x14:sparkline>
              <xm:f>관리비_Kenneth!BI6:BI51</xm:f>
              <xm:sqref>BI53</xm:sqref>
            </x14:sparkline>
          </x14:sparklines>
        </x14:sparklineGroup>
        <x14:sparklineGroup manualMax="0" manualMin="0" lineWeight="1.5" displayEmptyCellsAs="gap" high="1" low="1" xr2:uid="{396637C2-042E-4C8F-9293-6D9709B8A3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00B0F0"/>
          <x14:sparklines>
            <x14:sparkline>
              <xm:f>관리비_Kenneth!AB6:AB51</xm:f>
              <xm:sqref>AB53</xm:sqref>
            </x14:sparkline>
            <x14:sparkline>
              <xm:f>관리비_Kenneth!AC6:AC51</xm:f>
              <xm:sqref>AC53</xm:sqref>
            </x14:sparkline>
            <x14:sparkline>
              <xm:f>관리비_Kenneth!AD6:AD51</xm:f>
              <xm:sqref>AD53</xm:sqref>
            </x14:sparkline>
            <x14:sparkline>
              <xm:f>관리비_Kenneth!BF6:BF51</xm:f>
              <xm:sqref>BF53</xm:sqref>
            </x14:sparkline>
            <x14:sparkline>
              <xm:f>관리비_Kenneth!BG6:BG51</xm:f>
              <xm:sqref>BG53</xm:sqref>
            </x14:sparkline>
            <x14:sparkline>
              <xm:f>관리비_Kenneth!BH6:BH51</xm:f>
              <xm:sqref>BH53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관리비_Kenneth</vt:lpstr>
      <vt:lpstr>관리비_Kenneth!Print_Area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2026-08-14T06:42:59Z</dcterms:created>
  <dcterms:modified xsi:type="dcterms:W3CDTF">2026-08-14T06:52:03Z</dcterms:modified>
</cp:coreProperties>
</file>