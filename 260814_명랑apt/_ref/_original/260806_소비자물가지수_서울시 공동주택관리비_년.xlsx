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715B5D-C987-41A4-A6C5-F3B0F4762410}" xr6:coauthVersionLast="36" xr6:coauthVersionMax="36" xr10:uidLastSave="{00000000-0000-0000-0000-000000000000}"/>
  <bookViews>
    <workbookView xWindow="0" yWindow="0" windowWidth="38400" windowHeight="18165" xr2:uid="{00000000-000D-0000-FFFF-FFFF00000000}"/>
  </bookViews>
  <sheets>
    <sheet name="데이터" sheetId="1" r:id="rId1"/>
    <sheet name="메타정보" sheetId="2" r:id="rId2"/>
  </sheets>
  <calcPr calcId="191029" iterate="1"/>
</workbook>
</file>

<file path=xl/calcChain.xml><?xml version="1.0" encoding="utf-8"?>
<calcChain xmlns="http://schemas.openxmlformats.org/spreadsheetml/2006/main">
  <c r="H31" i="1" l="1"/>
  <c r="G31" i="1"/>
  <c r="H30" i="1"/>
  <c r="G30" i="1"/>
  <c r="D31" i="1"/>
  <c r="D30" i="1"/>
  <c r="C31" i="1"/>
  <c r="C30" i="1"/>
  <c r="G5" i="1" l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H4" i="1"/>
  <c r="G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5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4" i="1"/>
</calcChain>
</file>

<file path=xl/sharedStrings.xml><?xml version="1.0" encoding="utf-8"?>
<sst xmlns="http://schemas.openxmlformats.org/spreadsheetml/2006/main" count="94" uniqueCount="67">
  <si>
    <t>시점</t>
  </si>
  <si>
    <t>서울특별시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</si>
  <si>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</si>
  <si>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</si>
  <si>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</si>
  <si>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</si>
  <si>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</si>
  <si>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</si>
  <si>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</si>
  <si>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</si>
  <si>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</si>
  <si>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</si>
  <si>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</si>
  <si>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</si>
  <si>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</si>
  <si>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</si>
  <si>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</si>
  <si>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</si>
  <si>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</si>
  <si>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</si>
  <si>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</si>
  <si>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</si>
  <si>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</si>
  <si>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</si>
  <si>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</si>
  <si>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</si>
  <si>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</si>
  <si>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</si>
  <si>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○ 통계표ID</t>
  </si>
  <si>
    <t>DT_1J22112</t>
  </si>
  <si>
    <t>○ 통계표명</t>
  </si>
  <si>
    <t>품목별 소비자물가지수(품목성질별: 2020=100)</t>
  </si>
  <si>
    <t>○ 조회기간</t>
  </si>
  <si>
    <t xml:space="preserve">[월] 200001~202607  [년] 2000~2025  </t>
  </si>
  <si>
    <t>○ 출처</t>
  </si>
  <si>
    <t>「소비자물가조사」, 국가데이터처</t>
  </si>
  <si>
    <t>○ 자료다운일자</t>
  </si>
  <si>
    <t>2026.08.06 15:15</t>
  </si>
  <si>
    <t>○ 통계표URL</t>
  </si>
  <si>
    <t>https://kosis.kr/statHtml/statHtml.do?orgId=101&amp;tblId=DT_1J22112&amp;conn_path=I3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</si>
  <si>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</si>
  <si>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</si>
  <si>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</si>
  <si>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</si>
  <si>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</si>
  <si>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</si>
  <si>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</si>
  <si>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</si>
  <si>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- 2010년 7월 1일부터 통합창원시(창원, 마산, 진해)가 출범함에 따라 2005년부터 관련 지수를 소급하여 작성함(2010.8)</t>
  </si>
  <si>
    <t>- 2022년기준 가중치로서 이전자료(~2021년)는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</si>
  <si>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</si>
  <si>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</si>
  <si>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</si>
  <si>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</si>
  <si>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</si>
  <si>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</si>
  <si>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</si>
  <si>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</si>
  <si>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</si>
  <si>
    <t>CPI_CAGR</t>
    <phoneticPr fontId="2" type="noConversion"/>
  </si>
  <si>
    <t>CPI_YoY%</t>
    <phoneticPr fontId="2" type="noConversion"/>
  </si>
  <si>
    <t>Util_YoY%</t>
    <phoneticPr fontId="2" type="noConversion"/>
  </si>
  <si>
    <t>Util_CAGR</t>
    <phoneticPr fontId="2" type="noConversion"/>
  </si>
  <si>
    <t>CPI(서울시)</t>
    <phoneticPr fontId="2" type="noConversion"/>
  </si>
  <si>
    <t>MAX</t>
    <phoneticPr fontId="2" type="noConversion"/>
  </si>
  <si>
    <t>MIN</t>
    <phoneticPr fontId="2" type="noConversion"/>
  </si>
  <si>
    <t>공동주택관리비 지수(서울시)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</si>
</sst>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88" formatCode="0.0%"/>
    <numFmt numFmtId="193" formatCode="#,##0.0_);[Red]\(#,##0.0\)"/>
    <numFmt numFmtId="195" formatCode="yyyy"/>
  </numFmts>
  <fonts count="4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/>
    </xf>
    <xf numFmtId="188" fontId="0" fillId="0" borderId="0" xfId="2" applyNumberFormat="1" applyFo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>
      <alignment vertical="center"/>
    </xf>
    <xf numFmtId="188" fontId="3" fillId="5" borderId="0" xfId="2" applyNumberFormat="1" applyFont="1" applyFill="1">
      <alignment vertical="center"/>
    </xf>
    <xf numFmtId="193" fontId="0" fillId="0" borderId="1" xfId="1" applyNumberFormat="1" applyFont="1" applyBorder="1" applyAlignment="1">
      <alignment horizontal="right"/>
    </xf>
    <xf numFmtId="193" fontId="0" fillId="0" borderId="1" xfId="0" applyNumberFormat="1" applyBorder="1" applyAlignment="1">
      <alignment horizontal="right"/>
    </xf>
    <xf numFmtId="195" fontId="0" fillId="4" borderId="2" xfId="0" applyNumberFormat="1" applyFill="1" applyBorder="1" applyAlignment="1">
      <alignment horizontal="center" vertical="center"/>
    </xf>
    <xf numFmtId="195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88" fontId="0" fillId="0" borderId="0" xfId="0" applyNumberForma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740860184917767E-2"/>
          <c:y val="2.5428331875182269E-2"/>
          <c:w val="0.57831488357098637"/>
          <c:h val="0.89025379196021548"/>
        </c:manualLayout>
      </c:layout>
      <c:lineChart>
        <c:grouping val="standard"/>
        <c:varyColors val="0"/>
        <c:ser>
          <c:idx val="0"/>
          <c:order val="0"/>
          <c:tx>
            <c:strRef>
              <c:f>데이터!$B$2</c:f>
              <c:strCache>
                <c:ptCount val="1"/>
                <c:pt idx="0">
                  <c:v>공동주택관리비 지수(서울시)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데이터!$A$3:$A$28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데이터!$C$3:$C$28</c:f>
              <c:numCache>
                <c:formatCode>0.0%</c:formatCode>
                <c:ptCount val="26"/>
                <c:pt idx="1">
                  <c:v>1.4908742450917112E-2</c:v>
                </c:pt>
                <c:pt idx="2">
                  <c:v>1.0034693250186688E-2</c:v>
                </c:pt>
                <c:pt idx="3">
                  <c:v>7.0218917802560954E-2</c:v>
                </c:pt>
                <c:pt idx="4">
                  <c:v>8.4909301428020001E-2</c:v>
                </c:pt>
                <c:pt idx="5">
                  <c:v>5.7705630137242725E-2</c:v>
                </c:pt>
                <c:pt idx="6">
                  <c:v>4.6308261492981284E-2</c:v>
                </c:pt>
                <c:pt idx="7">
                  <c:v>2.2535401898252427E-2</c:v>
                </c:pt>
                <c:pt idx="8">
                  <c:v>5.2085573884412373E-2</c:v>
                </c:pt>
                <c:pt idx="9">
                  <c:v>3.7523393146397854E-2</c:v>
                </c:pt>
                <c:pt idx="10">
                  <c:v>1.0686189804920199E-2</c:v>
                </c:pt>
                <c:pt idx="11">
                  <c:v>7.0038093524100731E-3</c:v>
                </c:pt>
                <c:pt idx="12">
                  <c:v>4.8998436220120789E-2</c:v>
                </c:pt>
                <c:pt idx="13">
                  <c:v>9.4001561723574767E-2</c:v>
                </c:pt>
                <c:pt idx="14">
                  <c:v>3.9737333887043258E-2</c:v>
                </c:pt>
                <c:pt idx="15">
                  <c:v>2.8445542824334202E-2</c:v>
                </c:pt>
                <c:pt idx="16">
                  <c:v>2.7513137614233463E-2</c:v>
                </c:pt>
                <c:pt idx="17">
                  <c:v>7.0880185202683688E-2</c:v>
                </c:pt>
                <c:pt idx="18">
                  <c:v>3.072850603871391E-2</c:v>
                </c:pt>
                <c:pt idx="19">
                  <c:v>3.6992648553787699E-2</c:v>
                </c:pt>
                <c:pt idx="20">
                  <c:v>3.1906550542782908E-2</c:v>
                </c:pt>
                <c:pt idx="21">
                  <c:v>5.4899999999999949E-2</c:v>
                </c:pt>
                <c:pt idx="22">
                  <c:v>5.3369987676557207E-2</c:v>
                </c:pt>
                <c:pt idx="23">
                  <c:v>5.804535637149022E-2</c:v>
                </c:pt>
                <c:pt idx="24">
                  <c:v>3.2151058943608035E-2</c:v>
                </c:pt>
                <c:pt idx="25">
                  <c:v>5.9002884219200524E-2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60-4149-9778-89F771198B23}"/>
            </c:ext>
          </c:extLst>
        </c:ser>
        <c:ser>
          <c:idx val="1"/>
          <c:order val="1"/>
          <c:tx>
            <c:strRef>
              <c:f>데이터!$F$2</c:f>
              <c:strCache>
                <c:ptCount val="1"/>
                <c:pt idx="0">
                  <c:v>CPI(서울시)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데이터!$A$3:$A$28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데이터!$G$3:$G$28</c:f>
              <c:numCache>
                <c:formatCode>0.0%</c:formatCode>
                <c:ptCount val="26"/>
                <c:pt idx="1">
                  <c:v>4.3410752409911435E-2</c:v>
                </c:pt>
                <c:pt idx="2">
                  <c:v>3.298611111111116E-2</c:v>
                </c:pt>
                <c:pt idx="3">
                  <c:v>3.8115246098439526E-2</c:v>
                </c:pt>
                <c:pt idx="4">
                  <c:v>3.8941890719861094E-2</c:v>
                </c:pt>
                <c:pt idx="5">
                  <c:v>2.6170798898071723E-2</c:v>
                </c:pt>
                <c:pt idx="6">
                  <c:v>2.0663005897905151E-2</c:v>
                </c:pt>
                <c:pt idx="7">
                  <c:v>2.6209168559624851E-2</c:v>
                </c:pt>
                <c:pt idx="8">
                  <c:v>4.1604100864702565E-2</c:v>
                </c:pt>
                <c:pt idx="9">
                  <c:v>2.9478288966768629E-2</c:v>
                </c:pt>
                <c:pt idx="10">
                  <c:v>2.8054757478451986E-2</c:v>
                </c:pt>
                <c:pt idx="11">
                  <c:v>3.8162560766539011E-2</c:v>
                </c:pt>
                <c:pt idx="12">
                  <c:v>2.4804325204723421E-2</c:v>
                </c:pt>
                <c:pt idx="13">
                  <c:v>1.3950664974339055E-2</c:v>
                </c:pt>
                <c:pt idx="14">
                  <c:v>1.5576527446690358E-2</c:v>
                </c:pt>
                <c:pt idx="15">
                  <c:v>1.2540192926045135E-2</c:v>
                </c:pt>
                <c:pt idx="16">
                  <c:v>1.1802688684238394E-2</c:v>
                </c:pt>
                <c:pt idx="17">
                  <c:v>1.9971752890097783E-2</c:v>
                </c:pt>
                <c:pt idx="18">
                  <c:v>1.3385439103944963E-2</c:v>
                </c:pt>
                <c:pt idx="19">
                  <c:v>5.9008694419984131E-3</c:v>
                </c:pt>
                <c:pt idx="20">
                  <c:v>6.2184298967620233E-3</c:v>
                </c:pt>
                <c:pt idx="21">
                  <c:v>2.0999999999999908E-2</c:v>
                </c:pt>
                <c:pt idx="22">
                  <c:v>4.4955925563173293E-2</c:v>
                </c:pt>
                <c:pt idx="23">
                  <c:v>3.9272659105820562E-2</c:v>
                </c:pt>
                <c:pt idx="24">
                  <c:v>2.3629148629148666E-2</c:v>
                </c:pt>
                <c:pt idx="25">
                  <c:v>2.0176211453744486E-2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60-4149-9778-89F771198B23}"/>
            </c:ext>
          </c:extLst>
        </c:ser>
        <c:ser>
          <c:idx val="2"/>
          <c:order val="2"/>
          <c:tx>
            <c:strRef>
              <c:f>데이터!$D$2</c:f>
              <c:strCache>
                <c:ptCount val="1"/>
                <c:pt idx="0">
                  <c:v>Util_CAGR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데이터!$A$3:$A$28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데이터!$D$3:$D$28</c:f>
              <c:numCache>
                <c:formatCode>0.0%</c:formatCode>
                <c:ptCount val="26"/>
                <c:pt idx="1">
                  <c:v>1.4908742450917112E-2</c:v>
                </c:pt>
                <c:pt idx="2">
                  <c:v>5.0048225009602376E-3</c:v>
                </c:pt>
                <c:pt idx="3">
                  <c:v>2.6288915551641923E-2</c:v>
                </c:pt>
                <c:pt idx="4">
                  <c:v>4.0640171704460215E-2</c:v>
                </c:pt>
                <c:pt idx="5">
                  <c:v>4.4031092666364291E-2</c:v>
                </c:pt>
                <c:pt idx="6">
                  <c:v>4.4410276346220856E-2</c:v>
                </c:pt>
                <c:pt idx="7">
                  <c:v>4.1256874256208276E-2</c:v>
                </c:pt>
                <c:pt idx="8">
                  <c:v>4.2604342831090714E-2</c:v>
                </c:pt>
                <c:pt idx="9">
                  <c:v>4.2038566329645644E-2</c:v>
                </c:pt>
                <c:pt idx="10">
                  <c:v>3.8860052505439446E-2</c:v>
                </c:pt>
                <c:pt idx="11">
                  <c:v>3.5922858612352115E-2</c:v>
                </c:pt>
                <c:pt idx="12">
                  <c:v>3.7006236764645095E-2</c:v>
                </c:pt>
                <c:pt idx="13">
                  <c:v>4.1283045366349302E-2</c:v>
                </c:pt>
                <c:pt idx="14">
                  <c:v>4.1172561237735605E-2</c:v>
                </c:pt>
                <c:pt idx="15">
                  <c:v>4.0319214862340136E-2</c:v>
                </c:pt>
                <c:pt idx="16">
                  <c:v>3.9514179632300639E-2</c:v>
                </c:pt>
                <c:pt idx="17">
                  <c:v>4.1333540481561792E-2</c:v>
                </c:pt>
                <c:pt idx="18">
                  <c:v>4.074151965515127E-2</c:v>
                </c:pt>
                <c:pt idx="19">
                  <c:v>4.0543873199042624E-2</c:v>
                </c:pt>
                <c:pt idx="20">
                  <c:v>4.0110295030572729E-2</c:v>
                </c:pt>
                <c:pt idx="21">
                  <c:v>4.0809841655457646E-2</c:v>
                </c:pt>
                <c:pt idx="22">
                  <c:v>4.1377494780344914E-2</c:v>
                </c:pt>
                <c:pt idx="23">
                  <c:v>4.2096694255602696E-2</c:v>
                </c:pt>
                <c:pt idx="24">
                  <c:v>4.1680385792599584E-2</c:v>
                </c:pt>
                <c:pt idx="25">
                  <c:v>4.236781429125891E-2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D60-4149-9778-89F771198B23}"/>
            </c:ext>
          </c:extLst>
        </c:ser>
        <c:ser>
          <c:idx val="3"/>
          <c:order val="3"/>
          <c:tx>
            <c:strRef>
              <c:f>데이터!$H$2</c:f>
              <c:strCache>
                <c:ptCount val="1"/>
                <c:pt idx="0">
                  <c:v>CPI_CAGR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데이터!$A$3:$A$28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데이터!$H$3:$H$28</c:f>
              <c:numCache>
                <c:formatCode>0.0%</c:formatCode>
                <c:ptCount val="26"/>
                <c:pt idx="1">
                  <c:v>4.3410752409911435E-2</c:v>
                </c:pt>
                <c:pt idx="2">
                  <c:v>3.8185347336125997E-2</c:v>
                </c:pt>
                <c:pt idx="3">
                  <c:v>3.8161979730940043E-2</c:v>
                </c:pt>
                <c:pt idx="4">
                  <c:v>3.8356902573918994E-2</c:v>
                </c:pt>
                <c:pt idx="5">
                  <c:v>3.590815936733871E-2</c:v>
                </c:pt>
                <c:pt idx="6">
                  <c:v>3.3351578410100613E-2</c:v>
                </c:pt>
                <c:pt idx="7">
                  <c:v>3.2328198646871753E-2</c:v>
                </c:pt>
                <c:pt idx="8">
                  <c:v>3.3483153770699658E-2</c:v>
                </c:pt>
                <c:pt idx="9">
                  <c:v>3.3037400531823247E-2</c:v>
                </c:pt>
                <c:pt idx="10">
                  <c:v>3.2538051437408511E-2</c:v>
                </c:pt>
                <c:pt idx="11">
                  <c:v>3.3048108797438358E-2</c:v>
                </c:pt>
                <c:pt idx="12">
                  <c:v>3.2358601291192057E-2</c:v>
                </c:pt>
                <c:pt idx="13">
                  <c:v>3.093081806036091E-2</c:v>
                </c:pt>
                <c:pt idx="14">
                  <c:v>2.9826425797391698E-2</c:v>
                </c:pt>
                <c:pt idx="15">
                  <c:v>2.8664884221910381E-2</c:v>
                </c:pt>
                <c:pt idx="16">
                  <c:v>2.7602812264606369E-2</c:v>
                </c:pt>
                <c:pt idx="17">
                  <c:v>2.7152350152105598E-2</c:v>
                </c:pt>
                <c:pt idx="18">
                  <c:v>2.6382638545663806E-2</c:v>
                </c:pt>
                <c:pt idx="19">
                  <c:v>2.5294327045414899E-2</c:v>
                </c:pt>
                <c:pt idx="20">
                  <c:v>2.4331999656977965E-2</c:v>
                </c:pt>
                <c:pt idx="21">
                  <c:v>2.4173086714151859E-2</c:v>
                </c:pt>
                <c:pt idx="22">
                  <c:v>2.5108731240441218E-2</c:v>
                </c:pt>
                <c:pt idx="23">
                  <c:v>2.5720521052194689E-2</c:v>
                </c:pt>
                <c:pt idx="24">
                  <c:v>2.5633295285902857E-2</c:v>
                </c:pt>
                <c:pt idx="25">
                  <c:v>2.5414452505660545E-2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D60-4149-9778-89F771198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033264"/>
        <c:axId val="1941941136"/>
      </c:lineChart>
      <c:catAx>
        <c:axId val="18420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1941136"/>
        <c:crosses val="autoZero"/>
        <c:auto val="1"/>
        <c:lblAlgn val="ctr"/>
        <c:lblOffset val="100"/>
        <c:noMultiLvlLbl val="0"/>
      </c:catAx>
      <c:valAx>
        <c:axId val="194194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203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26380989478383"/>
          <c:y val="0.69473573698024582"/>
          <c:w val="0.31028252834714498"/>
          <c:h val="0.2842125155408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171451</xdr:colOff>
      <xdr:row>9</xdr:row>
      <xdr:rowOff>228599</xdr:rowOff>
    </xdr:from>
    <xdr:to>
      <xdr:col>12</xdr:col>
      <xdr:colOff>1076325</xdr:colOff>
      <xdr:row>28</xdr:row>
      <xdr:rowOff>47624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1127EA9-E817-4CCD-87E3-150391384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workbookViewId="0">
      <selection activeCell="B3" sqref="B3"/>
    </sheetView>
  </sheetViews>
  <sheetFormatPr defaultColWidth="21" defaultRowHeight="16.5" x14ac:dyDescent="0.3"/>
  <cols>
    <col min="1" max="1" width="7" customWidth="1"/>
    <col min="2" max="2" width="15.125" bestFit="1" customWidth="1"/>
    <col min="3" max="3" width="6.25" bestFit="1" customWidth="1"/>
    <col min="4" max="4" width="6.5" bestFit="1" customWidth="1"/>
    <col min="5" max="5" width="5.625" customWidth="1"/>
    <col min="6" max="6" width="6.875" bestFit="1" customWidth="1"/>
    <col min="7" max="7" width="6.25" bestFit="1" customWidth="1"/>
    <col min="8" max="8" width="6.5" bestFit="1" customWidth="1"/>
  </cols>
  <sheetData>
    <row r="1" spans="1:8" ht="20.100000000000001" customHeight="1" x14ac:dyDescent="0.3">
      <c r="A1" s="4" t="s">
        <v>0</v>
      </c>
      <c r="B1" s="5" t="s">
        <v>1</v>
      </c>
      <c r="C1" s="3"/>
      <c r="D1" s="3"/>
      <c r="F1" s="7"/>
    </row>
    <row r="2" spans="1:8" ht="20.100000000000001" customHeight="1" x14ac:dyDescent="0.3">
      <c r="A2" s="6" t="s">
        <v>0</v>
      </c>
      <c r="B2" s="5" t="s">
        <v>66</v>
      </c>
      <c r="C2" s="3" t="s">
        <v>61</v>
      </c>
      <c r="D2" s="3" t="s">
        <v>62</v>
      </c>
      <c r="F2" s="7" t="s">
        <v>63</v>
      </c>
      <c r="G2" s="3" t="s">
        <v>60</v>
      </c>
      <c r="H2" s="3" t="s">
        <v>59</v>
      </c>
    </row>
    <row r="3" spans="1:8" ht="20.100000000000001" customHeight="1" x14ac:dyDescent="0.3">
      <c r="A3" s="12" t="s">
        <v>2</v>
      </c>
      <c r="B3" s="10">
        <v>44.872999999999998</v>
      </c>
      <c r="F3" s="11">
        <v>61.828000000000003</v>
      </c>
      <c r="G3" s="8"/>
      <c r="H3" s="8"/>
    </row>
    <row r="4" spans="1:8" ht="20.100000000000001" customHeight="1" x14ac:dyDescent="0.3">
      <c r="A4" s="12" t="s">
        <v>3</v>
      </c>
      <c r="B4" s="10">
        <v>45.542000000000002</v>
      </c>
      <c r="C4" s="2">
        <f>B4/B3-1</f>
        <v>1.4908742450917112E-2</v>
      </c>
      <c r="D4" s="2">
        <f>(B4/$B$3)^(1/COUNTA($A$4:A4))-1</f>
        <v>1.4908742450917112E-2</v>
      </c>
      <c r="F4" s="11">
        <v>64.512</v>
      </c>
      <c r="G4" s="2">
        <f>F4/F3-1</f>
        <v>4.3410752409911435E-2</v>
      </c>
      <c r="H4" s="2">
        <f>(F4/$F$3)^(1/COUNTA($A$4:A4))-1</f>
        <v>4.3410752409911435E-2</v>
      </c>
    </row>
    <row r="5" spans="1:8" ht="20.100000000000001" customHeight="1" x14ac:dyDescent="0.3">
      <c r="A5" s="12" t="s">
        <v>4</v>
      </c>
      <c r="B5" s="10">
        <v>45.999000000000002</v>
      </c>
      <c r="C5" s="2">
        <f t="shared" ref="C5:C28" si="0">B5/B4-1</f>
        <v>1.0034693250186688E-2</v>
      </c>
      <c r="D5" s="2">
        <f>(B5/$B$4)^(1/COUNTA($A$4:A5))-1</f>
        <v>5.0048225009602376E-3</v>
      </c>
      <c r="F5" s="11">
        <v>66.64</v>
      </c>
      <c r="G5" s="2">
        <f t="shared" ref="G5:G28" si="1">F5/F4-1</f>
        <v>3.298611111111116E-2</v>
      </c>
      <c r="H5" s="2">
        <f>(F5/$F$3)^(1/COUNTA($A$4:A5))-1</f>
        <v>3.8185347336125997E-2</v>
      </c>
    </row>
    <row r="6" spans="1:8" ht="20.100000000000001" customHeight="1" x14ac:dyDescent="0.3">
      <c r="A6" s="12" t="s">
        <v>5</v>
      </c>
      <c r="B6" s="10">
        <v>49.228999999999999</v>
      </c>
      <c r="C6" s="2">
        <f t="shared" si="0"/>
        <v>7.0218917802560954E-2</v>
      </c>
      <c r="D6" s="2">
        <f>(B6/$B$4)^(1/COUNTA($A$4:A6))-1</f>
        <v>2.6288915551641923E-2</v>
      </c>
      <c r="F6" s="11">
        <v>69.180000000000007</v>
      </c>
      <c r="G6" s="2">
        <f t="shared" si="1"/>
        <v>3.8115246098439526E-2</v>
      </c>
      <c r="H6" s="2">
        <f>(F6/$F$3)^(1/COUNTA($A$4:A6))-1</f>
        <v>3.8161979730940043E-2</v>
      </c>
    </row>
    <row r="7" spans="1:8" ht="20.100000000000001" customHeight="1" x14ac:dyDescent="0.3">
      <c r="A7" s="12" t="s">
        <v>6</v>
      </c>
      <c r="B7" s="10">
        <v>53.408999999999999</v>
      </c>
      <c r="C7" s="2">
        <f t="shared" si="0"/>
        <v>8.4909301428020001E-2</v>
      </c>
      <c r="D7" s="2">
        <f>(B7/$B$4)^(1/COUNTA($A$4:A7))-1</f>
        <v>4.0640171704460215E-2</v>
      </c>
      <c r="F7" s="11">
        <v>71.873999999999995</v>
      </c>
      <c r="G7" s="2">
        <f t="shared" si="1"/>
        <v>3.8941890719861094E-2</v>
      </c>
      <c r="H7" s="2">
        <f>(F7/$F$3)^(1/COUNTA($A$4:A7))-1</f>
        <v>3.8356902573918994E-2</v>
      </c>
    </row>
    <row r="8" spans="1:8" ht="20.100000000000001" customHeight="1" x14ac:dyDescent="0.3">
      <c r="A8" s="12" t="s">
        <v>7</v>
      </c>
      <c r="B8" s="10">
        <v>56.491</v>
      </c>
      <c r="C8" s="2">
        <f t="shared" si="0"/>
        <v>5.7705630137242725E-2</v>
      </c>
      <c r="D8" s="2">
        <f>(B8/$B$4)^(1/COUNTA($A$4:A8))-1</f>
        <v>4.4031092666364291E-2</v>
      </c>
      <c r="F8" s="11">
        <v>73.754999999999995</v>
      </c>
      <c r="G8" s="2">
        <f t="shared" si="1"/>
        <v>2.6170798898071723E-2</v>
      </c>
      <c r="H8" s="2">
        <f>(F8/$F$3)^(1/COUNTA($A$4:A8))-1</f>
        <v>3.590815936733871E-2</v>
      </c>
    </row>
    <row r="9" spans="1:8" ht="20.100000000000001" customHeight="1" x14ac:dyDescent="0.3">
      <c r="A9" s="12" t="s">
        <v>8</v>
      </c>
      <c r="B9" s="10">
        <v>59.106999999999999</v>
      </c>
      <c r="C9" s="2">
        <f t="shared" si="0"/>
        <v>4.6308261492981284E-2</v>
      </c>
      <c r="D9" s="2">
        <f>(B9/$B$4)^(1/COUNTA($A$4:A9))-1</f>
        <v>4.4410276346220856E-2</v>
      </c>
      <c r="F9" s="11">
        <v>75.278999999999996</v>
      </c>
      <c r="G9" s="2">
        <f t="shared" si="1"/>
        <v>2.0663005897905151E-2</v>
      </c>
      <c r="H9" s="2">
        <f>(F9/$F$3)^(1/COUNTA($A$4:A9))-1</f>
        <v>3.3351578410100613E-2</v>
      </c>
    </row>
    <row r="10" spans="1:8" ht="20.100000000000001" customHeight="1" x14ac:dyDescent="0.3">
      <c r="A10" s="12" t="s">
        <v>9</v>
      </c>
      <c r="B10" s="10">
        <v>60.439</v>
      </c>
      <c r="C10" s="2">
        <f t="shared" si="0"/>
        <v>2.2535401898252427E-2</v>
      </c>
      <c r="D10" s="2">
        <f>(B10/$B$4)^(1/COUNTA($A$4:A10))-1</f>
        <v>4.1256874256208276E-2</v>
      </c>
      <c r="F10" s="11">
        <v>77.251999999999995</v>
      </c>
      <c r="G10" s="2">
        <f t="shared" si="1"/>
        <v>2.6209168559624851E-2</v>
      </c>
      <c r="H10" s="2">
        <f>(F10/$F$3)^(1/COUNTA($A$4:A10))-1</f>
        <v>3.2328198646871753E-2</v>
      </c>
    </row>
    <row r="11" spans="1:8" ht="20.100000000000001" customHeight="1" x14ac:dyDescent="0.3">
      <c r="A11" s="12" t="s">
        <v>10</v>
      </c>
      <c r="B11" s="10">
        <v>63.587000000000003</v>
      </c>
      <c r="C11" s="2">
        <f t="shared" si="0"/>
        <v>5.2085573884412373E-2</v>
      </c>
      <c r="D11" s="2">
        <f>(B11/$B$4)^(1/COUNTA($A$4:A11))-1</f>
        <v>4.2604342831090714E-2</v>
      </c>
      <c r="F11" s="11">
        <v>80.465999999999994</v>
      </c>
      <c r="G11" s="2">
        <f t="shared" si="1"/>
        <v>4.1604100864702565E-2</v>
      </c>
      <c r="H11" s="2">
        <f>(F11/$F$3)^(1/COUNTA($A$4:A11))-1</f>
        <v>3.3483153770699658E-2</v>
      </c>
    </row>
    <row r="12" spans="1:8" ht="20.100000000000001" customHeight="1" x14ac:dyDescent="0.3">
      <c r="A12" s="12" t="s">
        <v>11</v>
      </c>
      <c r="B12" s="10">
        <v>65.972999999999999</v>
      </c>
      <c r="C12" s="2">
        <f t="shared" si="0"/>
        <v>3.7523393146397854E-2</v>
      </c>
      <c r="D12" s="2">
        <f>(B12/$B$4)^(1/COUNTA($A$4:A12))-1</f>
        <v>4.2038566329645644E-2</v>
      </c>
      <c r="F12" s="11">
        <v>82.837999999999994</v>
      </c>
      <c r="G12" s="2">
        <f t="shared" si="1"/>
        <v>2.9478288966768629E-2</v>
      </c>
      <c r="H12" s="2">
        <f>(F12/$F$3)^(1/COUNTA($A$4:A12))-1</f>
        <v>3.3037400531823247E-2</v>
      </c>
    </row>
    <row r="13" spans="1:8" ht="20.100000000000001" customHeight="1" x14ac:dyDescent="0.3">
      <c r="A13" s="12" t="s">
        <v>12</v>
      </c>
      <c r="B13" s="10">
        <v>66.677999999999997</v>
      </c>
      <c r="C13" s="2">
        <f t="shared" si="0"/>
        <v>1.0686189804920199E-2</v>
      </c>
      <c r="D13" s="2">
        <f>(B13/$B$4)^(1/COUNTA($A$4:A13))-1</f>
        <v>3.8860052505439446E-2</v>
      </c>
      <c r="F13" s="11">
        <v>85.162000000000006</v>
      </c>
      <c r="G13" s="2">
        <f t="shared" si="1"/>
        <v>2.8054757478451986E-2</v>
      </c>
      <c r="H13" s="2">
        <f>(F13/$F$3)^(1/COUNTA($A$4:A13))-1</f>
        <v>3.2538051437408511E-2</v>
      </c>
    </row>
    <row r="14" spans="1:8" ht="20.100000000000001" customHeight="1" x14ac:dyDescent="0.3">
      <c r="A14" s="12" t="s">
        <v>13</v>
      </c>
      <c r="B14" s="10">
        <v>67.144999999999996</v>
      </c>
      <c r="C14" s="2">
        <f t="shared" si="0"/>
        <v>7.0038093524100731E-3</v>
      </c>
      <c r="D14" s="2">
        <f>(B14/$B$4)^(1/COUNTA($A$4:A14))-1</f>
        <v>3.5922858612352115E-2</v>
      </c>
      <c r="F14" s="11">
        <v>88.412000000000006</v>
      </c>
      <c r="G14" s="2">
        <f t="shared" si="1"/>
        <v>3.8162560766539011E-2</v>
      </c>
      <c r="H14" s="2">
        <f>(F14/$F$3)^(1/COUNTA($A$4:A14))-1</f>
        <v>3.3048108797438358E-2</v>
      </c>
    </row>
    <row r="15" spans="1:8" ht="20.100000000000001" customHeight="1" x14ac:dyDescent="0.3">
      <c r="A15" s="12" t="s">
        <v>14</v>
      </c>
      <c r="B15" s="10">
        <v>70.435000000000002</v>
      </c>
      <c r="C15" s="2">
        <f t="shared" si="0"/>
        <v>4.8998436220120789E-2</v>
      </c>
      <c r="D15" s="2">
        <f>(B15/$B$4)^(1/COUNTA($A$4:A15))-1</f>
        <v>3.7006236764645095E-2</v>
      </c>
      <c r="F15" s="11">
        <v>90.605000000000004</v>
      </c>
      <c r="G15" s="2">
        <f t="shared" si="1"/>
        <v>2.4804325204723421E-2</v>
      </c>
      <c r="H15" s="2">
        <f>(F15/$F$3)^(1/COUNTA($A$4:A15))-1</f>
        <v>3.2358601291192057E-2</v>
      </c>
    </row>
    <row r="16" spans="1:8" ht="20.100000000000001" customHeight="1" x14ac:dyDescent="0.3">
      <c r="A16" s="12" t="s">
        <v>15</v>
      </c>
      <c r="B16" s="10">
        <v>77.055999999999997</v>
      </c>
      <c r="C16" s="2">
        <f t="shared" si="0"/>
        <v>9.4001561723574767E-2</v>
      </c>
      <c r="D16" s="2">
        <f>(B16/$B$4)^(1/COUNTA($A$4:A16))-1</f>
        <v>4.1283045366349302E-2</v>
      </c>
      <c r="F16" s="11">
        <v>91.869</v>
      </c>
      <c r="G16" s="2">
        <f t="shared" si="1"/>
        <v>1.3950664974339055E-2</v>
      </c>
      <c r="H16" s="2">
        <f>(F16/$F$3)^(1/COUNTA($A$4:A16))-1</f>
        <v>3.093081806036091E-2</v>
      </c>
    </row>
    <row r="17" spans="1:8" ht="20.100000000000001" customHeight="1" x14ac:dyDescent="0.3">
      <c r="A17" s="12" t="s">
        <v>16</v>
      </c>
      <c r="B17" s="10">
        <v>80.117999999999995</v>
      </c>
      <c r="C17" s="2">
        <f t="shared" si="0"/>
        <v>3.9737333887043258E-2</v>
      </c>
      <c r="D17" s="2">
        <f>(B17/$B$4)^(1/COUNTA($A$4:A17))-1</f>
        <v>4.1172561237735605E-2</v>
      </c>
      <c r="F17" s="11">
        <v>93.3</v>
      </c>
      <c r="G17" s="2">
        <f t="shared" si="1"/>
        <v>1.5576527446690358E-2</v>
      </c>
      <c r="H17" s="2">
        <f>(F17/$F$3)^(1/COUNTA($A$4:A17))-1</f>
        <v>2.9826425797391698E-2</v>
      </c>
    </row>
    <row r="18" spans="1:8" ht="20.100000000000001" customHeight="1" x14ac:dyDescent="0.3">
      <c r="A18" s="12" t="s">
        <v>17</v>
      </c>
      <c r="B18" s="10">
        <v>82.397000000000006</v>
      </c>
      <c r="C18" s="2">
        <f t="shared" si="0"/>
        <v>2.8445542824334202E-2</v>
      </c>
      <c r="D18" s="2">
        <f>(B18/$B$4)^(1/COUNTA($A$4:A18))-1</f>
        <v>4.0319214862340136E-2</v>
      </c>
      <c r="F18" s="11">
        <v>94.47</v>
      </c>
      <c r="G18" s="2">
        <f t="shared" si="1"/>
        <v>1.2540192926045135E-2</v>
      </c>
      <c r="H18" s="2">
        <f>(F18/$F$3)^(1/COUNTA($A$4:A18))-1</f>
        <v>2.8664884221910381E-2</v>
      </c>
    </row>
    <row r="19" spans="1:8" ht="20.100000000000001" customHeight="1" x14ac:dyDescent="0.3">
      <c r="A19" s="12" t="s">
        <v>18</v>
      </c>
      <c r="B19" s="10">
        <v>84.664000000000001</v>
      </c>
      <c r="C19" s="2">
        <f t="shared" si="0"/>
        <v>2.7513137614233463E-2</v>
      </c>
      <c r="D19" s="2">
        <f>(B19/$B$4)^(1/COUNTA($A$4:A19))-1</f>
        <v>3.9514179632300639E-2</v>
      </c>
      <c r="F19" s="11">
        <v>95.584999999999994</v>
      </c>
      <c r="G19" s="2">
        <f t="shared" si="1"/>
        <v>1.1802688684238394E-2</v>
      </c>
      <c r="H19" s="2">
        <f>(F19/$F$3)^(1/COUNTA($A$4:A19))-1</f>
        <v>2.7602812264606369E-2</v>
      </c>
    </row>
    <row r="20" spans="1:8" ht="20.100000000000001" customHeight="1" x14ac:dyDescent="0.3">
      <c r="A20" s="12" t="s">
        <v>19</v>
      </c>
      <c r="B20" s="10">
        <v>90.665000000000006</v>
      </c>
      <c r="C20" s="2">
        <f t="shared" si="0"/>
        <v>7.0880185202683688E-2</v>
      </c>
      <c r="D20" s="2">
        <f>(B20/$B$4)^(1/COUNTA($A$4:A20))-1</f>
        <v>4.1333540481561792E-2</v>
      </c>
      <c r="F20" s="11">
        <v>97.494</v>
      </c>
      <c r="G20" s="2">
        <f t="shared" si="1"/>
        <v>1.9971752890097783E-2</v>
      </c>
      <c r="H20" s="2">
        <f>(F20/$F$3)^(1/COUNTA($A$4:A20))-1</f>
        <v>2.7152350152105598E-2</v>
      </c>
    </row>
    <row r="21" spans="1:8" ht="20.100000000000001" customHeight="1" x14ac:dyDescent="0.3">
      <c r="A21" s="12" t="s">
        <v>20</v>
      </c>
      <c r="B21" s="10">
        <v>93.450999999999993</v>
      </c>
      <c r="C21" s="2">
        <f t="shared" si="0"/>
        <v>3.072850603871391E-2</v>
      </c>
      <c r="D21" s="2">
        <f>(B21/$B$4)^(1/COUNTA($A$4:A21))-1</f>
        <v>4.074151965515127E-2</v>
      </c>
      <c r="F21" s="11">
        <v>98.799000000000007</v>
      </c>
      <c r="G21" s="2">
        <f t="shared" si="1"/>
        <v>1.3385439103944963E-2</v>
      </c>
      <c r="H21" s="2">
        <f>(F21/$F$3)^(1/COUNTA($A$4:A21))-1</f>
        <v>2.6382638545663806E-2</v>
      </c>
    </row>
    <row r="22" spans="1:8" ht="20.100000000000001" customHeight="1" x14ac:dyDescent="0.3">
      <c r="A22" s="12" t="s">
        <v>21</v>
      </c>
      <c r="B22" s="10">
        <v>96.908000000000001</v>
      </c>
      <c r="C22" s="2">
        <f t="shared" si="0"/>
        <v>3.6992648553787699E-2</v>
      </c>
      <c r="D22" s="2">
        <f>(B22/$B$4)^(1/COUNTA($A$4:A22))-1</f>
        <v>4.0543873199042624E-2</v>
      </c>
      <c r="F22" s="11">
        <v>99.382000000000005</v>
      </c>
      <c r="G22" s="2">
        <f t="shared" si="1"/>
        <v>5.9008694419984131E-3</v>
      </c>
      <c r="H22" s="2">
        <f>(F22/$F$3)^(1/COUNTA($A$4:A22))-1</f>
        <v>2.5294327045414899E-2</v>
      </c>
    </row>
    <row r="23" spans="1:8" ht="20.100000000000001" customHeight="1" x14ac:dyDescent="0.3">
      <c r="A23" s="12" t="s">
        <v>22</v>
      </c>
      <c r="B23" s="10">
        <v>100</v>
      </c>
      <c r="C23" s="2">
        <f t="shared" si="0"/>
        <v>3.1906550542782908E-2</v>
      </c>
      <c r="D23" s="2">
        <f>(B23/$B$4)^(1/COUNTA($A$4:A23))-1</f>
        <v>4.0110295030572729E-2</v>
      </c>
      <c r="F23" s="11">
        <v>100</v>
      </c>
      <c r="G23" s="2">
        <f t="shared" si="1"/>
        <v>6.2184298967620233E-3</v>
      </c>
      <c r="H23" s="2">
        <f>(F23/$F$3)^(1/COUNTA($A$4:A23))-1</f>
        <v>2.4331999656977965E-2</v>
      </c>
    </row>
    <row r="24" spans="1:8" ht="20.100000000000001" customHeight="1" x14ac:dyDescent="0.3">
      <c r="A24" s="12" t="s">
        <v>23</v>
      </c>
      <c r="B24" s="10">
        <v>105.49</v>
      </c>
      <c r="C24" s="2">
        <f t="shared" si="0"/>
        <v>5.4899999999999949E-2</v>
      </c>
      <c r="D24" s="2">
        <f>(B24/$B$4)^(1/COUNTA($A$4:A24))-1</f>
        <v>4.0809841655457646E-2</v>
      </c>
      <c r="F24" s="11">
        <v>102.1</v>
      </c>
      <c r="G24" s="2">
        <f t="shared" si="1"/>
        <v>2.0999999999999908E-2</v>
      </c>
      <c r="H24" s="2">
        <f>(F24/$F$3)^(1/COUNTA($A$4:A24))-1</f>
        <v>2.4173086714151859E-2</v>
      </c>
    </row>
    <row r="25" spans="1:8" ht="20.100000000000001" customHeight="1" x14ac:dyDescent="0.3">
      <c r="A25" s="12" t="s">
        <v>24</v>
      </c>
      <c r="B25" s="10">
        <v>111.12</v>
      </c>
      <c r="C25" s="2">
        <f t="shared" si="0"/>
        <v>5.3369987676557207E-2</v>
      </c>
      <c r="D25" s="2">
        <f>(B25/$B$4)^(1/COUNTA($A$4:A25))-1</f>
        <v>4.1377494780344914E-2</v>
      </c>
      <c r="F25" s="11">
        <v>106.69</v>
      </c>
      <c r="G25" s="2">
        <f t="shared" si="1"/>
        <v>4.4955925563173293E-2</v>
      </c>
      <c r="H25" s="2">
        <f>(F25/$F$3)^(1/COUNTA($A$4:A25))-1</f>
        <v>2.5108731240441218E-2</v>
      </c>
    </row>
    <row r="26" spans="1:8" ht="20.100000000000001" customHeight="1" x14ac:dyDescent="0.3">
      <c r="A26" s="12" t="s">
        <v>25</v>
      </c>
      <c r="B26" s="10">
        <v>117.57</v>
      </c>
      <c r="C26" s="2">
        <f t="shared" si="0"/>
        <v>5.804535637149022E-2</v>
      </c>
      <c r="D26" s="2">
        <f>(B26/$B$4)^(1/COUNTA($A$4:A26))-1</f>
        <v>4.2096694255602696E-2</v>
      </c>
      <c r="F26" s="11">
        <v>110.88</v>
      </c>
      <c r="G26" s="2">
        <f t="shared" si="1"/>
        <v>3.9272659105820562E-2</v>
      </c>
      <c r="H26" s="2">
        <f>(F26/$F$3)^(1/COUNTA($A$4:A26))-1</f>
        <v>2.5720521052194689E-2</v>
      </c>
    </row>
    <row r="27" spans="1:8" ht="20.100000000000001" customHeight="1" x14ac:dyDescent="0.3">
      <c r="A27" s="12" t="s">
        <v>26</v>
      </c>
      <c r="B27" s="10">
        <v>121.35</v>
      </c>
      <c r="C27" s="2">
        <f t="shared" si="0"/>
        <v>3.2151058943608035E-2</v>
      </c>
      <c r="D27" s="2">
        <f>(B27/$B$4)^(1/COUNTA($A$4:A27))-1</f>
        <v>4.1680385792599584E-2</v>
      </c>
      <c r="F27" s="11">
        <v>113.5</v>
      </c>
      <c r="G27" s="2">
        <f t="shared" si="1"/>
        <v>2.3629148629148666E-2</v>
      </c>
      <c r="H27" s="2">
        <f>(F27/$F$3)^(1/COUNTA($A$4:A27))-1</f>
        <v>2.5633295285902857E-2</v>
      </c>
    </row>
    <row r="28" spans="1:8" ht="20.100000000000001" customHeight="1" x14ac:dyDescent="0.3">
      <c r="A28" s="13" t="s">
        <v>27</v>
      </c>
      <c r="B28" s="10">
        <v>128.51</v>
      </c>
      <c r="C28" s="2">
        <f t="shared" si="0"/>
        <v>5.9002884219200524E-2</v>
      </c>
      <c r="D28" s="9">
        <f>(B28/$B$4)^(1/COUNTA($A$4:A28))-1</f>
        <v>4.236781429125891E-2</v>
      </c>
      <c r="F28" s="11">
        <v>115.79</v>
      </c>
      <c r="G28" s="2">
        <f t="shared" si="1"/>
        <v>2.0176211453744486E-2</v>
      </c>
      <c r="H28" s="9">
        <f>(F28/$F$3)^(1/COUNTA($A$4:A28))-1</f>
        <v>2.5414452505660545E-2</v>
      </c>
    </row>
    <row r="30" spans="1:8" x14ac:dyDescent="0.3">
      <c r="B30" s="14" t="s">
        <v>64</v>
      </c>
      <c r="C30" s="15">
        <f>MAX(C4:C28)</f>
        <v>9.4001561723574767E-2</v>
      </c>
      <c r="D30" s="15">
        <f>MAX(D4:D28)</f>
        <v>4.4410276346220856E-2</v>
      </c>
      <c r="F30" s="14" t="s">
        <v>64</v>
      </c>
      <c r="G30" s="15">
        <f>MAX(G4:G28)</f>
        <v>4.4955925563173293E-2</v>
      </c>
      <c r="H30" s="15">
        <f>MAX(H4:H28)</f>
        <v>4.3410752409911435E-2</v>
      </c>
    </row>
    <row r="31" spans="1:8" x14ac:dyDescent="0.3">
      <c r="B31" s="14" t="s">
        <v>65</v>
      </c>
      <c r="C31" s="15">
        <f>MIN(C4:C28)</f>
        <v>7.0038093524100731E-3</v>
      </c>
      <c r="D31" s="15">
        <f>MIN(D4:D28)</f>
        <v>5.0048225009602376E-3</v>
      </c>
      <c r="F31" s="14" t="s">
        <v>65</v>
      </c>
      <c r="G31" s="15">
        <f>MIN(G4:G28)</f>
        <v>5.9008694419984131E-3</v>
      </c>
      <c r="H31" s="15">
        <f>MIN(H4:H28)</f>
        <v>2.4173086714151859E-2</v>
      </c>
    </row>
  </sheetData>
  <mergeCells count="1">
    <mergeCell ref="A1:A2"/>
  </mergeCells>
  <phoneticPr fontId="2" type="noConversion"/>
  <pageMargins left="0.7" right="0.7" top="0.75" bottom="0.75" header="0.3" footer="0.3"/>
  <ignoredErrors>
    <ignoredError sqref="A3:A28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6.5" x14ac:dyDescent="0.3"/>
  <sheetData>
    <row r="1" spans="1:2" x14ac:dyDescent="0.3">
      <c r="A1" s="1" t="s">
        <v>28</v>
      </c>
      <c r="B1" s="1" t="s">
        <v>29</v>
      </c>
    </row>
    <row r="2" spans="1:2" x14ac:dyDescent="0.3">
      <c r="A2" s="1" t="s">
        <v>30</v>
      </c>
      <c r="B2" s="1" t="s">
        <v>31</v>
      </c>
    </row>
    <row r="3" spans="1:2" x14ac:dyDescent="0.3">
      <c r="A3" s="1" t="s">
        <v>32</v>
      </c>
      <c r="B3" s="1" t="s">
        <v>33</v>
      </c>
    </row>
    <row r="4" spans="1:2" x14ac:dyDescent="0.3">
      <c r="A4" s="1" t="s">
        <v>34</v>
      </c>
      <c r="B4" s="1" t="s">
        <v>35</v>
      </c>
    </row>
    <row r="5" spans="1:2" x14ac:dyDescent="0.3">
      <c r="A5" s="1" t="s">
        <v>36</v>
      </c>
      <c r="B5" s="1" t="s">
        <v>37</v>
      </c>
    </row>
    <row r="6" spans="1:2" x14ac:dyDescent="0.3">
      <c r="A6" s="1" t="s">
        <v>38</v>
      </c>
      <c r="B6" s="1" t="s">
        <v>39</v>
      </c>
    </row>
    <row r="7" spans="1:2" x14ac:dyDescent="0.3">
      <c r="A7" s="1" t="s">
        <v>40</v>
      </c>
      <c r="B7" s="1" t="s">
        <v>41</v>
      </c>
    </row>
    <row r="8" spans="1:2" x14ac:dyDescent="0.3">
      <c r="A8" s="1" t="s">
        <v>42</v>
      </c>
      <c r="B8" s="1" t="s">
        <v>43</v>
      </c>
    </row>
    <row r="9" spans="1:2" x14ac:dyDescent="0.3">
      <c r="A9" s="1" t="s">
        <v>44</v>
      </c>
    </row>
    <row r="10" spans="1:2" x14ac:dyDescent="0.3">
      <c r="A10" s="1" t="s">
        <v>45</v>
      </c>
      <c r="B10" s="1" t="s">
        <v>46</v>
      </c>
    </row>
    <row r="11" spans="1:2" x14ac:dyDescent="0.3">
      <c r="A11" s="1" t="s">
        <v>40</v>
      </c>
      <c r="B11" s="1" t="s">
        <v>40</v>
      </c>
    </row>
    <row r="12" spans="1:2" x14ac:dyDescent="0.3">
      <c r="A12" s="1" t="s">
        <v>40</v>
      </c>
      <c r="B12" s="1" t="s">
        <v>47</v>
      </c>
    </row>
    <row r="13" spans="1:2" x14ac:dyDescent="0.3">
      <c r="A13" s="1" t="s">
        <v>40</v>
      </c>
      <c r="B13" s="1" t="s">
        <v>40</v>
      </c>
    </row>
    <row r="14" spans="1:2" x14ac:dyDescent="0.3">
      <c r="A14" s="1" t="s">
        <v>40</v>
      </c>
      <c r="B14" s="1" t="s">
        <v>48</v>
      </c>
    </row>
    <row r="15" spans="1:2" x14ac:dyDescent="0.3">
      <c r="A15" s="1" t="s">
        <v>40</v>
      </c>
      <c r="B15" s="1" t="s">
        <v>40</v>
      </c>
    </row>
    <row r="16" spans="1:2" x14ac:dyDescent="0.3">
      <c r="A16" s="1" t="s">
        <v>40</v>
      </c>
      <c r="B16" s="1" t="s">
        <v>49</v>
      </c>
    </row>
    <row r="17" spans="1:2" x14ac:dyDescent="0.3">
      <c r="A17" s="1" t="s">
        <v>40</v>
      </c>
      <c r="B17" s="1" t="s">
        <v>40</v>
      </c>
    </row>
    <row r="18" spans="1:2" x14ac:dyDescent="0.3">
      <c r="A18" s="1" t="s">
        <v>40</v>
      </c>
      <c r="B18" s="1" t="s">
        <v>50</v>
      </c>
    </row>
    <row r="19" spans="1:2" x14ac:dyDescent="0.3">
      <c r="A19" s="1" t="s">
        <v>40</v>
      </c>
      <c r="B19" s="1" t="s">
        <v>40</v>
      </c>
    </row>
    <row r="20" spans="1:2" x14ac:dyDescent="0.3">
      <c r="A20" s="1" t="s">
        <v>40</v>
      </c>
      <c r="B20" s="1" t="s">
        <v>51</v>
      </c>
    </row>
    <row r="21" spans="1:2" x14ac:dyDescent="0.3">
      <c r="A21" s="1" t="s">
        <v>40</v>
      </c>
      <c r="B21" s="1" t="s">
        <v>52</v>
      </c>
    </row>
    <row r="22" spans="1:2" x14ac:dyDescent="0.3">
      <c r="A22" s="1" t="s">
        <v>40</v>
      </c>
      <c r="B22" s="1" t="s">
        <v>53</v>
      </c>
    </row>
    <row r="23" spans="1:2" x14ac:dyDescent="0.3">
      <c r="A23" s="1" t="s">
        <v>40</v>
      </c>
      <c r="B23" s="1" t="s">
        <v>40</v>
      </c>
    </row>
    <row r="24" spans="1:2" x14ac:dyDescent="0.3">
      <c r="A24" s="1" t="s">
        <v>40</v>
      </c>
      <c r="B24" s="1" t="s">
        <v>54</v>
      </c>
    </row>
    <row r="25" spans="1:2" x14ac:dyDescent="0.3">
      <c r="A25" s="1" t="s">
        <v>40</v>
      </c>
      <c r="B25" s="1" t="s">
        <v>55</v>
      </c>
    </row>
    <row r="26" spans="1:2" x14ac:dyDescent="0.3">
      <c r="A26" s="1" t="s">
        <v>40</v>
      </c>
      <c r="B26" s="1" t="s">
        <v>56</v>
      </c>
    </row>
    <row r="27" spans="1:2" x14ac:dyDescent="0.3">
      <c r="A27" s="1" t="s">
        <v>40</v>
      </c>
      <c r="B27" s="1" t="s">
        <v>57</v>
      </c>
    </row>
    <row r="28" spans="1:2" x14ac:dyDescent="0.3">
      <c r="A28" s="1" t="s">
        <v>40</v>
      </c>
      <c r="B28" s="1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2026-08-06T06:15:18Z</dcterms:created>
  <dcterms:modified xsi:type="dcterms:W3CDTF">2026-08-06T07:10:42Z</dcterms:modified>
</cp:coreProperties>
</file>